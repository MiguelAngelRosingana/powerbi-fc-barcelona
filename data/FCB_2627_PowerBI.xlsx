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igue\Downloads\"/>
    </mc:Choice>
  </mc:AlternateContent>
  <xr:revisionPtr revIDLastSave="0" documentId="13_ncr:1_{DE488B37-39EA-415E-9D78-43C3EF173C6A}" xr6:coauthVersionLast="47" xr6:coauthVersionMax="47" xr10:uidLastSave="{00000000-0000-0000-0000-000000000000}"/>
  <bookViews>
    <workbookView xWindow="28680" yWindow="-120" windowWidth="38640" windowHeight="21120" tabRatio="500" activeTab="6" xr2:uid="{00000000-000D-0000-FFFF-FFFF00000000}"/>
  </bookViews>
  <sheets>
    <sheet name="Leyenda" sheetId="1" r:id="rId1"/>
    <sheet name="Dim_Competiciones" sheetId="2" r:id="rId2"/>
    <sheet name="Dim_Jugadores" sheetId="3" r:id="rId3"/>
    <sheet name="Dim_Partidos" sheetId="4" r:id="rId4"/>
    <sheet name="Dim_TipoEvento" sheetId="5" r:id="rId5"/>
    <sheet name="Hechos_Participaciones" sheetId="6" r:id="rId6"/>
    <sheet name="Hechos_Eventos" sheetId="7" r:id="rId7"/>
  </sheets>
  <calcPr calcId="191029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28" i="7" l="1"/>
  <c r="L29" i="7"/>
  <c r="L30" i="7"/>
  <c r="L31" i="7"/>
  <c r="L32" i="7"/>
  <c r="L33" i="7"/>
  <c r="L34" i="7"/>
  <c r="L35" i="7"/>
  <c r="L36" i="7"/>
  <c r="L37" i="7"/>
  <c r="L38" i="7"/>
  <c r="L39" i="7"/>
  <c r="L27" i="7"/>
  <c r="I63" i="6"/>
  <c r="I64" i="6"/>
  <c r="I65" i="6"/>
  <c r="I66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L26" i="7"/>
  <c r="L25" i="7"/>
  <c r="L24" i="7"/>
  <c r="L23" i="7"/>
  <c r="L22" i="7"/>
  <c r="L21" i="7"/>
  <c r="L20" i="7"/>
  <c r="L19" i="7"/>
  <c r="L18" i="7"/>
  <c r="L17" i="7"/>
  <c r="L16" i="7"/>
  <c r="L15" i="7"/>
  <c r="L14" i="7"/>
  <c r="L13" i="7"/>
  <c r="L12" i="7"/>
  <c r="L11" i="7"/>
  <c r="L10" i="7"/>
  <c r="L9" i="7"/>
  <c r="L8" i="7"/>
  <c r="L7" i="7"/>
  <c r="L6" i="7"/>
  <c r="L5" i="7"/>
  <c r="L4" i="7"/>
  <c r="L3" i="7"/>
  <c r="L2" i="7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2" i="6"/>
  <c r="K4" i="4"/>
  <c r="J4" i="4"/>
  <c r="K3" i="4"/>
  <c r="J3" i="4"/>
  <c r="K2" i="4"/>
  <c r="J2" i="4"/>
</calcChain>
</file>

<file path=xl/sharedStrings.xml><?xml version="1.0" encoding="utf-8"?>
<sst xmlns="http://schemas.openxmlformats.org/spreadsheetml/2006/main" count="1160" uniqueCount="480">
  <si>
    <t>FC Barcelona 2026/27 - modelo de datos para Power BI</t>
  </si>
  <si>
    <t>Como usar este libro</t>
  </si>
  <si>
    <t>Las hojas Dim_ son dimensiones (catalogos) y las hojas Hechos_ son tablas de hechos.</t>
  </si>
  <si>
    <t>Las cabeceras no llevan espacios ni acentos para que Power Query las cargue limpias.</t>
  </si>
  <si>
    <t>Cada hoja es una tabla de Excel con nombre (tPartidos, tEventos...): al anadir filas debajo,</t>
  </si>
  <si>
    <t>la tabla se expande sola y Power BI las recoge en el siguiente refresco.</t>
  </si>
  <si>
    <t>Que celdas editas tu</t>
  </si>
  <si>
    <t>Dim_Partidos: las celdas en amarillo (GolesFavor y GolesContra) mas Jugado, Arbitro y Asistencia.</t>
  </si>
  <si>
    <t>Dim_Partidos: Resultado y Puntos son formulas; copialas hacia abajo al cerrar cada partido.</t>
  </si>
  <si>
    <t>Hechos_Participaciones: una fila por jugador convocado que pisa el campo. MinutosJugados es formula.</t>
  </si>
  <si>
    <t>Hechos_Eventos: una fila por gol, asistencia o tarjeta. MinutoTotal es formula.</t>
  </si>
  <si>
    <t>Dim_Jugadores: anade fichas nuevas al final con el siguiente JugadorID libre.</t>
  </si>
  <si>
    <t>Reglas de carga</t>
  </si>
  <si>
    <t>Un titular tiene MinutoEntra 0. Un suplente que no juega NO se anota.</t>
  </si>
  <si>
    <t>Si el partido acaba en el 90, MinutoSale es 90 aunque haya descuento.</t>
  </si>
  <si>
    <t>Un gol y su asistencia son dos filas: la asistencia lleva TipoEventoID TE04 y el EventoID del gol en GolID.</t>
  </si>
  <si>
    <t>Los goles del rival van con TipoEventoID TE09, JugadorID J00 y el nombre en JugadorRival.</t>
  </si>
  <si>
    <t>Un gol en propia del rival va con TE03: suma a favor del Barca y no se asigna a ningun jugador (J00).</t>
  </si>
  <si>
    <t>Los minutos del descuento van en MinutoAnadido (ej. 45+3 son Minuto 45 y MinutoAnadido 3).</t>
  </si>
  <si>
    <t>Ejemplo de fila (formato esperado)</t>
  </si>
  <si>
    <t>Hechos_Eventos: E999 | L004 | TE05 | 58 | 0 | 2 | J15 | FC Barcelona | (vacio) | (vacio) | Amarilla por protestar</t>
  </si>
  <si>
    <t>Hechos_Participaciones: PA9999 | L004 | J15 | 8 | MC | Si | 0 | 72</t>
  </si>
  <si>
    <t>Estado de los datos</t>
  </si>
  <si>
    <t>Cargadas las 3 jornadas de LaLiga disputadas hasta el 31/08/2026 (Elche, Athletic y Rayo).</t>
  </si>
  <si>
    <t>Precargado el calendario completo de LaLiga (J4 a J38) y la fase liga de Champions, sin resultados.</t>
  </si>
  <si>
    <t>Copa del Rey y Supercopa quedan como filas plantilla hasta que se conozcan rival y fecha.</t>
  </si>
  <si>
    <t>Las jornadas J4 a J38 se han numerado por orden de fecha; ajustalas si LaLiga reprograma algun partido.</t>
  </si>
  <si>
    <t>Fuente: datos de partido y plantilla de ESPN (LaLiga 2026/27), consultados el 01/09/2026.</t>
  </si>
  <si>
    <t>CompeticionID</t>
  </si>
  <si>
    <t>Competicion</t>
  </si>
  <si>
    <t>Ambito</t>
  </si>
  <si>
    <t>Formato</t>
  </si>
  <si>
    <t>Orden</t>
  </si>
  <si>
    <t>LaLiga</t>
  </si>
  <si>
    <t>Nacional</t>
  </si>
  <si>
    <t>Liga</t>
  </si>
  <si>
    <t>Champions League</t>
  </si>
  <si>
    <t>Europea</t>
  </si>
  <si>
    <t>Liguilla + eliminatorias</t>
  </si>
  <si>
    <t>Copa del Rey</t>
  </si>
  <si>
    <t>Eliminatorias</t>
  </si>
  <si>
    <t>Supercopa de Espana</t>
  </si>
  <si>
    <t>JugadorID</t>
  </si>
  <si>
    <t>Jugador</t>
  </si>
  <si>
    <t>NombreCorto</t>
  </si>
  <si>
    <t>Dorsal</t>
  </si>
  <si>
    <t>Posicion</t>
  </si>
  <si>
    <t>Pais</t>
  </si>
  <si>
    <t>Edad</t>
  </si>
  <si>
    <t>EnPlantilla</t>
  </si>
  <si>
    <t>J00</t>
  </si>
  <si>
    <t>Rival / Sin asignar</t>
  </si>
  <si>
    <t>Rival</t>
  </si>
  <si>
    <t>N/A</t>
  </si>
  <si>
    <t>No</t>
  </si>
  <si>
    <t>J01</t>
  </si>
  <si>
    <t>Joan Garcia</t>
  </si>
  <si>
    <t>J. Garcia</t>
  </si>
  <si>
    <t>Portero</t>
  </si>
  <si>
    <t>Espana</t>
  </si>
  <si>
    <t>Si</t>
  </si>
  <si>
    <t>J02</t>
  </si>
  <si>
    <t>Wojciech Szczesny</t>
  </si>
  <si>
    <t>Szczesny</t>
  </si>
  <si>
    <t>Polonia</t>
  </si>
  <si>
    <t>J03</t>
  </si>
  <si>
    <t>Dominik Livakovic</t>
  </si>
  <si>
    <t>Livakovic</t>
  </si>
  <si>
    <t>Croacia</t>
  </si>
  <si>
    <t>J04</t>
  </si>
  <si>
    <t>Eder Aller</t>
  </si>
  <si>
    <t>Aller</t>
  </si>
  <si>
    <t>J05</t>
  </si>
  <si>
    <t>Jules Kounde</t>
  </si>
  <si>
    <t>Kounde</t>
  </si>
  <si>
    <t>Defensa</t>
  </si>
  <si>
    <t>Francia</t>
  </si>
  <si>
    <t>J06</t>
  </si>
  <si>
    <t>Pau Cubarsi</t>
  </si>
  <si>
    <t>Cubarsi</t>
  </si>
  <si>
    <t>J07</t>
  </si>
  <si>
    <t>Andreas Christensen</t>
  </si>
  <si>
    <t>Christensen</t>
  </si>
  <si>
    <t>Dinamarca</t>
  </si>
  <si>
    <t>J08</t>
  </si>
  <si>
    <t>Alejandro Balde</t>
  </si>
  <si>
    <t>Balde</t>
  </si>
  <si>
    <t>J09</t>
  </si>
  <si>
    <t>Gerard Martin</t>
  </si>
  <si>
    <t>G. Martin</t>
  </si>
  <si>
    <t>J10</t>
  </si>
  <si>
    <t>Eric Garcia</t>
  </si>
  <si>
    <t>E. Garcia</t>
  </si>
  <si>
    <t>J11</t>
  </si>
  <si>
    <t>Joao Cancelo</t>
  </si>
  <si>
    <t>Cancelo</t>
  </si>
  <si>
    <t>Portugal</t>
  </si>
  <si>
    <t>J12</t>
  </si>
  <si>
    <t>Xavi Espart</t>
  </si>
  <si>
    <t>Espart</t>
  </si>
  <si>
    <t>J13</t>
  </si>
  <si>
    <t>Alvaro Cortes</t>
  </si>
  <si>
    <t>A. Cortes</t>
  </si>
  <si>
    <t>J14</t>
  </si>
  <si>
    <t>Jordi Pesquer</t>
  </si>
  <si>
    <t>Pesquer</t>
  </si>
  <si>
    <t>J15</t>
  </si>
  <si>
    <t>Pedri</t>
  </si>
  <si>
    <t>Centrocampista</t>
  </si>
  <si>
    <t>J16</t>
  </si>
  <si>
    <t>Frenkie de Jong</t>
  </si>
  <si>
    <t>De Jong</t>
  </si>
  <si>
    <t>Paises Bajos</t>
  </si>
  <si>
    <t>J17</t>
  </si>
  <si>
    <t>Gavi</t>
  </si>
  <si>
    <t>J18</t>
  </si>
  <si>
    <t>Dani Olmo</t>
  </si>
  <si>
    <t>Olmo</t>
  </si>
  <si>
    <t>J19</t>
  </si>
  <si>
    <t>Fermin Lopez</t>
  </si>
  <si>
    <t>Fermin</t>
  </si>
  <si>
    <t>J20</t>
  </si>
  <si>
    <t>Marc Bernal</t>
  </si>
  <si>
    <t>Bernal</t>
  </si>
  <si>
    <t>J21</t>
  </si>
  <si>
    <t>Rodri</t>
  </si>
  <si>
    <t>J22</t>
  </si>
  <si>
    <t>Marc Casado</t>
  </si>
  <si>
    <t>Casado</t>
  </si>
  <si>
    <t>J23</t>
  </si>
  <si>
    <t>Brian Farinas</t>
  </si>
  <si>
    <t>Farinas</t>
  </si>
  <si>
    <t>J24</t>
  </si>
  <si>
    <t>Lamine Yamal</t>
  </si>
  <si>
    <t>Yamal</t>
  </si>
  <si>
    <t>Delantero</t>
  </si>
  <si>
    <t>J25</t>
  </si>
  <si>
    <t>Raphinha</t>
  </si>
  <si>
    <t>Brasil</t>
  </si>
  <si>
    <t>J26</t>
  </si>
  <si>
    <t>Anthony Gordon</t>
  </si>
  <si>
    <t>Gordon</t>
  </si>
  <si>
    <t>Inglaterra</t>
  </si>
  <si>
    <t>J27</t>
  </si>
  <si>
    <t>Karim Adeyemi</t>
  </si>
  <si>
    <t>Adeyemi</t>
  </si>
  <si>
    <t>Alemania</t>
  </si>
  <si>
    <t>J28</t>
  </si>
  <si>
    <t>Gabriel Jesus</t>
  </si>
  <si>
    <t>G. Jesus</t>
  </si>
  <si>
    <t>J29</t>
  </si>
  <si>
    <t>Roony Bardghji</t>
  </si>
  <si>
    <t>Bardghji</t>
  </si>
  <si>
    <t>Suecia</t>
  </si>
  <si>
    <t>J30</t>
  </si>
  <si>
    <t>Hamza Abdelkarim</t>
  </si>
  <si>
    <t>Abdelkarim</t>
  </si>
  <si>
    <t>Egipto</t>
  </si>
  <si>
    <t>J31</t>
  </si>
  <si>
    <t>Jesse Bisiwu</t>
  </si>
  <si>
    <t>Bisiwu</t>
  </si>
  <si>
    <t>Belgica</t>
  </si>
  <si>
    <t>PartidoID</t>
  </si>
  <si>
    <t>Fecha</t>
  </si>
  <si>
    <t>Jornada</t>
  </si>
  <si>
    <t>Condicion</t>
  </si>
  <si>
    <t>Estadio</t>
  </si>
  <si>
    <t>GolesFavor</t>
  </si>
  <si>
    <t>GolesContra</t>
  </si>
  <si>
    <t>Resultado</t>
  </si>
  <si>
    <t>Puntos</t>
  </si>
  <si>
    <t>Jugado</t>
  </si>
  <si>
    <t>Arbitro</t>
  </si>
  <si>
    <t>Asistencia</t>
  </si>
  <si>
    <t>L002</t>
  </si>
  <si>
    <t>J2</t>
  </si>
  <si>
    <t>Elche</t>
  </si>
  <si>
    <t>Visitante</t>
  </si>
  <si>
    <t>Martinez Valero</t>
  </si>
  <si>
    <t>L001</t>
  </si>
  <si>
    <t>J1</t>
  </si>
  <si>
    <t>Athletic Club</t>
  </si>
  <si>
    <t>Local</t>
  </si>
  <si>
    <t>Spotify Camp Nou</t>
  </si>
  <si>
    <t>L003</t>
  </si>
  <si>
    <t>J3</t>
  </si>
  <si>
    <t>Rayo Vallecano</t>
  </si>
  <si>
    <t>Francisco Jose Hernandez Maeso</t>
  </si>
  <si>
    <t>L004</t>
  </si>
  <si>
    <t>J4</t>
  </si>
  <si>
    <t>Valencia</t>
  </si>
  <si>
    <t>L005</t>
  </si>
  <si>
    <t>J5</t>
  </si>
  <si>
    <t>Levante</t>
  </si>
  <si>
    <t>L006</t>
  </si>
  <si>
    <t>J6</t>
  </si>
  <si>
    <t>Racing Santander</t>
  </si>
  <si>
    <t>L007</t>
  </si>
  <si>
    <t>J7</t>
  </si>
  <si>
    <t>Sevilla</t>
  </si>
  <si>
    <t>L008</t>
  </si>
  <si>
    <t>J8</t>
  </si>
  <si>
    <t>Getafe</t>
  </si>
  <si>
    <t>L009</t>
  </si>
  <si>
    <t>J9</t>
  </si>
  <si>
    <t>Real Betis</t>
  </si>
  <si>
    <t>L010</t>
  </si>
  <si>
    <t>Real Madrid</t>
  </si>
  <si>
    <t>L011</t>
  </si>
  <si>
    <t>Alaves</t>
  </si>
  <si>
    <t>L012</t>
  </si>
  <si>
    <t>Atletico Madrid</t>
  </si>
  <si>
    <t>L013</t>
  </si>
  <si>
    <t>Villarreal</t>
  </si>
  <si>
    <t>L014</t>
  </si>
  <si>
    <t>Deportivo</t>
  </si>
  <si>
    <t>L015</t>
  </si>
  <si>
    <t>Celta Vigo</t>
  </si>
  <si>
    <t>L016</t>
  </si>
  <si>
    <t>Malaga</t>
  </si>
  <si>
    <t>L017</t>
  </si>
  <si>
    <t>Real Sociedad</t>
  </si>
  <si>
    <t>L018</t>
  </si>
  <si>
    <t>Espanyol</t>
  </si>
  <si>
    <t>L019</t>
  </si>
  <si>
    <t>Osasuna</t>
  </si>
  <si>
    <t>L020</t>
  </si>
  <si>
    <t>L021</t>
  </si>
  <si>
    <t>L022</t>
  </si>
  <si>
    <t>L023</t>
  </si>
  <si>
    <t>L024</t>
  </si>
  <si>
    <t>L025</t>
  </si>
  <si>
    <t>L026</t>
  </si>
  <si>
    <t>L027</t>
  </si>
  <si>
    <t>L028</t>
  </si>
  <si>
    <t>L029</t>
  </si>
  <si>
    <t>L030</t>
  </si>
  <si>
    <t>L031</t>
  </si>
  <si>
    <t>L032</t>
  </si>
  <si>
    <t>J32</t>
  </si>
  <si>
    <t>L033</t>
  </si>
  <si>
    <t>J33</t>
  </si>
  <si>
    <t>L034</t>
  </si>
  <si>
    <t>J34</t>
  </si>
  <si>
    <t>L035</t>
  </si>
  <si>
    <t>J35</t>
  </si>
  <si>
    <t>L036</t>
  </si>
  <si>
    <t>J36</t>
  </si>
  <si>
    <t>L037</t>
  </si>
  <si>
    <t>J37</t>
  </si>
  <si>
    <t>L038</t>
  </si>
  <si>
    <t>J38</t>
  </si>
  <si>
    <t>C001</t>
  </si>
  <si>
    <t>Fase liga J1</t>
  </si>
  <si>
    <t>Feyenoord</t>
  </si>
  <si>
    <t>C002</t>
  </si>
  <si>
    <t>Fase liga J2</t>
  </si>
  <si>
    <t>Galatasaray</t>
  </si>
  <si>
    <t>C003</t>
  </si>
  <si>
    <t>Fase liga J3</t>
  </si>
  <si>
    <t>Paris Saint-Germain</t>
  </si>
  <si>
    <t>C004</t>
  </si>
  <si>
    <t>Fase liga J4</t>
  </si>
  <si>
    <t>Aston Villa</t>
  </si>
  <si>
    <t>C005</t>
  </si>
  <si>
    <t>Fase liga J5</t>
  </si>
  <si>
    <t>Sabah FK</t>
  </si>
  <si>
    <t>C006</t>
  </si>
  <si>
    <t>Fase liga J6</t>
  </si>
  <si>
    <t>Manchester City</t>
  </si>
  <si>
    <t>C007</t>
  </si>
  <si>
    <t>Fase liga J7</t>
  </si>
  <si>
    <t>Sporting CP</t>
  </si>
  <si>
    <t>C008</t>
  </si>
  <si>
    <t>Fase liga J8</t>
  </si>
  <si>
    <t>Como</t>
  </si>
  <si>
    <t>K001</t>
  </si>
  <si>
    <t>Ronda por determinar</t>
  </si>
  <si>
    <t>Por determinar</t>
  </si>
  <si>
    <t>K002</t>
  </si>
  <si>
    <t>S001</t>
  </si>
  <si>
    <t>Semifinal</t>
  </si>
  <si>
    <t>Neutral</t>
  </si>
  <si>
    <t>S002</t>
  </si>
  <si>
    <t>Final</t>
  </si>
  <si>
    <t>TipoEventoID</t>
  </si>
  <si>
    <t>TipoEvento</t>
  </si>
  <si>
    <t>Categoria</t>
  </si>
  <si>
    <t>Signo</t>
  </si>
  <si>
    <t>Descripcion</t>
  </si>
  <si>
    <t>TE01</t>
  </si>
  <si>
    <t>Gol</t>
  </si>
  <si>
    <t>Gol en juego</t>
  </si>
  <si>
    <t>TE02</t>
  </si>
  <si>
    <t>Gol de penalti</t>
  </si>
  <si>
    <t>Gol desde el punto de penalti</t>
  </si>
  <si>
    <t>TE03</t>
  </si>
  <si>
    <t>Gol en propia puerta a favor</t>
  </si>
  <si>
    <t>Gol en propia del rival; cuenta a favor</t>
  </si>
  <si>
    <t>TE04</t>
  </si>
  <si>
    <t>Pase del gol; se enlaza al gol con GolID</t>
  </si>
  <si>
    <t>TE05</t>
  </si>
  <si>
    <t>Tarjeta amarilla</t>
  </si>
  <si>
    <t>Tarjeta</t>
  </si>
  <si>
    <t>Amonestacion</t>
  </si>
  <si>
    <t>TE06</t>
  </si>
  <si>
    <t>Segunda amarilla</t>
  </si>
  <si>
    <t>Expulsion por doble amarilla</t>
  </si>
  <si>
    <t>TE07</t>
  </si>
  <si>
    <t>Tarjeta roja directa</t>
  </si>
  <si>
    <t>Expulsion directa</t>
  </si>
  <si>
    <t>TE08</t>
  </si>
  <si>
    <t>Penalti fallado</t>
  </si>
  <si>
    <t>Otro</t>
  </si>
  <si>
    <t>Penalti lanzado y no convertido</t>
  </si>
  <si>
    <t>TE09</t>
  </si>
  <si>
    <t>Gol encajado</t>
  </si>
  <si>
    <t>Gol del rival; cuenta en contra</t>
  </si>
  <si>
    <t>ParticipacionID</t>
  </si>
  <si>
    <t>PosicionPartido</t>
  </si>
  <si>
    <t>EsTitular</t>
  </si>
  <si>
    <t>MinutoEntra</t>
  </si>
  <si>
    <t>MinutoSale</t>
  </si>
  <si>
    <t>MinutosJugados</t>
  </si>
  <si>
    <t>PA0001</t>
  </si>
  <si>
    <t>POR</t>
  </si>
  <si>
    <t>PA0002</t>
  </si>
  <si>
    <t>DFC-I</t>
  </si>
  <si>
    <t>PA0003</t>
  </si>
  <si>
    <t>DFC-D</t>
  </si>
  <si>
    <t>PA0004</t>
  </si>
  <si>
    <t>LI</t>
  </si>
  <si>
    <t>PA0005</t>
  </si>
  <si>
    <t>LD</t>
  </si>
  <si>
    <t>PA0006</t>
  </si>
  <si>
    <t>MCO</t>
  </si>
  <si>
    <t>PA0007</t>
  </si>
  <si>
    <t>MI</t>
  </si>
  <si>
    <t>PA0008</t>
  </si>
  <si>
    <t>MD</t>
  </si>
  <si>
    <t>PA0009</t>
  </si>
  <si>
    <t>DC</t>
  </si>
  <si>
    <t>PA0010</t>
  </si>
  <si>
    <t>EI</t>
  </si>
  <si>
    <t>PA0011</t>
  </si>
  <si>
    <t>ED</t>
  </si>
  <si>
    <t>PA0012</t>
  </si>
  <si>
    <t>PA0013</t>
  </si>
  <si>
    <t>PA0014</t>
  </si>
  <si>
    <t>PA0015</t>
  </si>
  <si>
    <t>PA0016</t>
  </si>
  <si>
    <t>PA0017</t>
  </si>
  <si>
    <t>PA0018</t>
  </si>
  <si>
    <t>PA0019</t>
  </si>
  <si>
    <t>PA0020</t>
  </si>
  <si>
    <t>PA0021</t>
  </si>
  <si>
    <t>PA0022</t>
  </si>
  <si>
    <t>MC</t>
  </si>
  <si>
    <t>PA0023</t>
  </si>
  <si>
    <t>PA0024</t>
  </si>
  <si>
    <t>PA0025</t>
  </si>
  <si>
    <t>PA0026</t>
  </si>
  <si>
    <t>PA0027</t>
  </si>
  <si>
    <t>PA0028</t>
  </si>
  <si>
    <t>PA0029</t>
  </si>
  <si>
    <t>PA0030</t>
  </si>
  <si>
    <t>PA0031</t>
  </si>
  <si>
    <t>PA0032</t>
  </si>
  <si>
    <t>PA0033</t>
  </si>
  <si>
    <t>PA0034</t>
  </si>
  <si>
    <t>PA0035</t>
  </si>
  <si>
    <t>PA0036</t>
  </si>
  <si>
    <t>PA0037</t>
  </si>
  <si>
    <t>PA0038</t>
  </si>
  <si>
    <t>PA0039</t>
  </si>
  <si>
    <t>PA0040</t>
  </si>
  <si>
    <t>PA0041</t>
  </si>
  <si>
    <t>PA0042</t>
  </si>
  <si>
    <t>PA0043</t>
  </si>
  <si>
    <t>PA0044</t>
  </si>
  <si>
    <t>PA0045</t>
  </si>
  <si>
    <t>PA0046</t>
  </si>
  <si>
    <t>PA0047</t>
  </si>
  <si>
    <t>PA0048</t>
  </si>
  <si>
    <t>EventoID</t>
  </si>
  <si>
    <t>Minuto</t>
  </si>
  <si>
    <t>MinutoAnadido</t>
  </si>
  <si>
    <t>Parte</t>
  </si>
  <si>
    <t>Equipo</t>
  </si>
  <si>
    <t>JugadorRival</t>
  </si>
  <si>
    <t>GolID</t>
  </si>
  <si>
    <t>Detalle</t>
  </si>
  <si>
    <t>MinutoTotal</t>
  </si>
  <si>
    <t>E001</t>
  </si>
  <si>
    <t>FC Barcelona</t>
  </si>
  <si>
    <t>Penalti</t>
  </si>
  <si>
    <t>E002</t>
  </si>
  <si>
    <t>Contragolpe</t>
  </si>
  <si>
    <t>E003</t>
  </si>
  <si>
    <t>Asistencia del gol E002</t>
  </si>
  <si>
    <t>E004</t>
  </si>
  <si>
    <t>E005</t>
  </si>
  <si>
    <t>Asistencia del gol E004</t>
  </si>
  <si>
    <t>E006</t>
  </si>
  <si>
    <t>E007</t>
  </si>
  <si>
    <t>Asistencia del gol E006</t>
  </si>
  <si>
    <t>E008</t>
  </si>
  <si>
    <t>E009</t>
  </si>
  <si>
    <t>Asistencia del gol E008</t>
  </si>
  <si>
    <t>E010</t>
  </si>
  <si>
    <t>Amarilla por falta</t>
  </si>
  <si>
    <t>E011</t>
  </si>
  <si>
    <t>E012</t>
  </si>
  <si>
    <t>Asistencia del gol E011</t>
  </si>
  <si>
    <t>E013</t>
  </si>
  <si>
    <t>Sin asistencia</t>
  </si>
  <si>
    <t>E014</t>
  </si>
  <si>
    <t>Sergio Camello</t>
  </si>
  <si>
    <t>Asistencia de Alvaro Garcia</t>
  </si>
  <si>
    <t>E015</t>
  </si>
  <si>
    <t>E016</t>
  </si>
  <si>
    <t>Asistencia del gol E015</t>
  </si>
  <si>
    <t>E017</t>
  </si>
  <si>
    <t>E018</t>
  </si>
  <si>
    <t>Asistencia del gol E017</t>
  </si>
  <si>
    <t>E019</t>
  </si>
  <si>
    <t>Florian Lejeune</t>
  </si>
  <si>
    <t>Gol en propia del rival</t>
  </si>
  <si>
    <t>E020</t>
  </si>
  <si>
    <t>De cabeza tras corner</t>
  </si>
  <si>
    <t>E021</t>
  </si>
  <si>
    <t>E022</t>
  </si>
  <si>
    <t>Asistencia del gol E021</t>
  </si>
  <si>
    <t>E023</t>
  </si>
  <si>
    <t>E024</t>
  </si>
  <si>
    <t>Asistencia del gol E023</t>
  </si>
  <si>
    <t>E025</t>
  </si>
  <si>
    <t>Adria Pedrosa</t>
  </si>
  <si>
    <t>Mestalla</t>
  </si>
  <si>
    <t>Victoria</t>
  </si>
  <si>
    <t>Isidro Díaz de Mera Escuderos</t>
  </si>
  <si>
    <t>Alejandro Quintero González</t>
  </si>
  <si>
    <t>Miguel Ángel Ortiz Arias</t>
  </si>
  <si>
    <t>PA0049</t>
  </si>
  <si>
    <t>PA0050</t>
  </si>
  <si>
    <t>PA0051</t>
  </si>
  <si>
    <t>PA0052</t>
  </si>
  <si>
    <t>PA0053</t>
  </si>
  <si>
    <t>PA0054</t>
  </si>
  <si>
    <t>PA0055</t>
  </si>
  <si>
    <t>PA0056</t>
  </si>
  <si>
    <t>PA0057</t>
  </si>
  <si>
    <t>PA0058</t>
  </si>
  <si>
    <t>PA0059</t>
  </si>
  <si>
    <t>PA0060</t>
  </si>
  <si>
    <t>PA0061</t>
  </si>
  <si>
    <t>PA0062</t>
  </si>
  <si>
    <t>PA0063</t>
  </si>
  <si>
    <t>PA0064</t>
  </si>
  <si>
    <t>PA0065</t>
  </si>
  <si>
    <t>E026</t>
  </si>
  <si>
    <t>Asistencia del gol E026</t>
  </si>
  <si>
    <t>Desde ángulo difícil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</si>
  <si>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</si>
  <si>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</si>
  <si>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</si>
  <si>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</si>
  <si>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</si>
  <si>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</si>
  <si>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</si>
  <si>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</si>
  <si>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</si>
  <si>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</si>
  <si>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</si>
  <si>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</si>
  <si>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Asistencia del gol E028</t>
  </si>
  <si>
    <t>Asistencia del gol E032</t>
  </si>
  <si>
    <t>Asistencia del gol E035</t>
  </si>
  <si>
    <t>Validado tras revisión del VAR</t>
  </si>
  <si>
    <t>Asistencia del gol E037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</si>
</sst>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4"/>
      <color rgb="FFA50044"/>
      <name val="Arial"/>
      <charset val="1"/>
    </font>
    <font>
      <sz val="10"/>
      <name val="Arial"/>
      <charset val="1"/>
    </font>
    <font>
      <b/>
      <sz val="11"/>
      <color rgb="FF004D98"/>
      <name val="Arial"/>
      <charset val="1"/>
    </font>
    <font>
      <i/>
      <sz val="9"/>
      <color rgb="FF666666"/>
      <name val="Arial"/>
      <charset val="1"/>
    </font>
    <font>
      <b/>
      <sz val="10"/>
      <color rgb="FFFFFFFF"/>
      <name val="Arial"/>
      <charset val="1"/>
    </font>
    <font>
      <sz val="8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4D98"/>
        <bgColor rgb="FF003366"/>
      </patternFill>
    </fill>
    <fill>
      <patternFill patternType="solid">
        <fgColor rgb="FFFFF2C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 vertical="center" wrapText="1"/>
    </xf>
    <xf numFmtId="14" fontId="2" fillId="0" borderId="0" xfId="0" applyNumberFormat="1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A50044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4D9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Competiciones" displayName="tCompeticiones" ref="A1:E5" totalsRowShown="0">
  <autoFilter ref="A1:E5" xr:uid="{00000000-0009-0000-0100-000001000000}"/>
  <tableColumns count="5">
    <tableColumn id="1" xr3:uid="{00000000-0010-0000-0000-000001000000}" name="CompeticionID"/>
    <tableColumn id="2" xr3:uid="{00000000-0010-0000-0000-000002000000}" name="Competicion"/>
    <tableColumn id="3" xr3:uid="{00000000-0010-0000-0000-000003000000}" name="Ambito"/>
    <tableColumn id="4" xr3:uid="{00000000-0010-0000-0000-000004000000}" name="Formato"/>
    <tableColumn id="5" xr3:uid="{00000000-0010-0000-0000-000005000000}" name="Orden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Jugadores" displayName="tJugadores" ref="A1:H33" totalsRowShown="0">
  <autoFilter ref="A1:H33" xr:uid="{00000000-0009-0000-0100-000003000000}"/>
  <tableColumns count="8">
    <tableColumn id="1" xr3:uid="{00000000-0010-0000-0100-000001000000}" name="JugadorID"/>
    <tableColumn id="2" xr3:uid="{00000000-0010-0000-0100-000002000000}" name="Jugador"/>
    <tableColumn id="3" xr3:uid="{00000000-0010-0000-0100-000003000000}" name="NombreCorto"/>
    <tableColumn id="4" xr3:uid="{00000000-0010-0000-0100-000004000000}" name="Dorsal"/>
    <tableColumn id="5" xr3:uid="{00000000-0010-0000-0100-000005000000}" name="Posicion"/>
    <tableColumn id="6" xr3:uid="{00000000-0010-0000-0100-000006000000}" name="Pais"/>
    <tableColumn id="7" xr3:uid="{00000000-0010-0000-0100-000007000000}" name="Edad"/>
    <tableColumn id="8" xr3:uid="{00000000-0010-0000-0100-000008000000}" name="EnPlantilla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Partidos" displayName="tPartidos" ref="A1:N51" totalsRowShown="0">
  <autoFilter ref="A1:N51" xr:uid="{00000000-0009-0000-0100-000005000000}"/>
  <tableColumns count="14">
    <tableColumn id="1" xr3:uid="{00000000-0010-0000-0200-000001000000}" name="PartidoID"/>
    <tableColumn id="2" xr3:uid="{00000000-0010-0000-0200-000002000000}" name="Fecha"/>
    <tableColumn id="3" xr3:uid="{00000000-0010-0000-0200-000003000000}" name="CompeticionID"/>
    <tableColumn id="4" xr3:uid="{00000000-0010-0000-0200-000004000000}" name="Jornada"/>
    <tableColumn id="5" xr3:uid="{00000000-0010-0000-0200-000005000000}" name="Rival"/>
    <tableColumn id="6" xr3:uid="{00000000-0010-0000-0200-000006000000}" name="Condicion"/>
    <tableColumn id="7" xr3:uid="{00000000-0010-0000-0200-000007000000}" name="Estadio"/>
    <tableColumn id="8" xr3:uid="{00000000-0010-0000-0200-000008000000}" name="GolesFavor"/>
    <tableColumn id="9" xr3:uid="{00000000-0010-0000-0200-000009000000}" name="GolesContra"/>
    <tableColumn id="10" xr3:uid="{00000000-0010-0000-0200-00000A000000}" name="Resultado"/>
    <tableColumn id="11" xr3:uid="{00000000-0010-0000-0200-00000B000000}" name="Puntos"/>
    <tableColumn id="12" xr3:uid="{00000000-0010-0000-0200-00000C000000}" name="Jugado"/>
    <tableColumn id="13" xr3:uid="{00000000-0010-0000-0200-00000D000000}" name="Arbitro"/>
    <tableColumn id="14" xr3:uid="{00000000-0010-0000-0200-00000E000000}" name="Asistencia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TipoEvento" displayName="tTipoEvento" ref="A1:E10" totalsRowShown="0">
  <autoFilter ref="A1:E10" xr:uid="{00000000-0009-0000-0100-000006000000}"/>
  <tableColumns count="5">
    <tableColumn id="1" xr3:uid="{00000000-0010-0000-0300-000001000000}" name="TipoEventoID"/>
    <tableColumn id="2" xr3:uid="{00000000-0010-0000-0300-000002000000}" name="TipoEvento"/>
    <tableColumn id="3" xr3:uid="{00000000-0010-0000-0300-000003000000}" name="Categoria"/>
    <tableColumn id="4" xr3:uid="{00000000-0010-0000-0300-000004000000}" name="Signo"/>
    <tableColumn id="5" xr3:uid="{00000000-0010-0000-0300-000005000000}" name="Descripcion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tParticipaciones" displayName="tParticipaciones" ref="A1:I66" totalsRowShown="0">
  <autoFilter ref="A1:I66" xr:uid="{00000000-0009-0000-0100-000004000000}"/>
  <tableColumns count="9">
    <tableColumn id="1" xr3:uid="{00000000-0010-0000-0400-000001000000}" name="ParticipacionID"/>
    <tableColumn id="2" xr3:uid="{00000000-0010-0000-0400-000002000000}" name="PartidoID"/>
    <tableColumn id="3" xr3:uid="{00000000-0010-0000-0400-000003000000}" name="JugadorID"/>
    <tableColumn id="4" xr3:uid="{00000000-0010-0000-0400-000004000000}" name="Dorsal"/>
    <tableColumn id="5" xr3:uid="{00000000-0010-0000-0400-000005000000}" name="PosicionPartido"/>
    <tableColumn id="6" xr3:uid="{00000000-0010-0000-0400-000006000000}" name="EsTitular"/>
    <tableColumn id="7" xr3:uid="{00000000-0010-0000-0400-000007000000}" name="MinutoEntra"/>
    <tableColumn id="8" xr3:uid="{00000000-0010-0000-0400-000008000000}" name="MinutoSale"/>
    <tableColumn id="9" xr3:uid="{00000000-0010-0000-0400-000009000000}" name="MinutosJugados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5000000}" name="tEventos" displayName="tEventos" ref="A1:L39" totalsRowShown="0">
  <autoFilter ref="A1:L39" xr:uid="{00000000-0009-0000-0100-000002000000}"/>
  <tableColumns count="12">
    <tableColumn id="1" xr3:uid="{00000000-0010-0000-0500-000001000000}" name="EventoID"/>
    <tableColumn id="2" xr3:uid="{00000000-0010-0000-0500-000002000000}" name="PartidoID"/>
    <tableColumn id="3" xr3:uid="{00000000-0010-0000-0500-000003000000}" name="TipoEventoID"/>
    <tableColumn id="4" xr3:uid="{00000000-0010-0000-0500-000004000000}" name="Minuto"/>
    <tableColumn id="5" xr3:uid="{00000000-0010-0000-0500-000005000000}" name="MinutoAnadido"/>
    <tableColumn id="6" xr3:uid="{00000000-0010-0000-0500-000006000000}" name="Parte"/>
    <tableColumn id="7" xr3:uid="{00000000-0010-0000-0500-000007000000}" name="JugadorID"/>
    <tableColumn id="8" xr3:uid="{00000000-0010-0000-0500-000008000000}" name="Equipo"/>
    <tableColumn id="9" xr3:uid="{00000000-0010-0000-0500-000009000000}" name="JugadorRival"/>
    <tableColumn id="10" xr3:uid="{00000000-0010-0000-0500-00000A000000}" name="GolID"/>
    <tableColumn id="11" xr3:uid="{00000000-0010-0000-0500-00000B000000}" name="Detalle"/>
    <tableColumn id="12" xr3:uid="{00000000-0010-0000-0500-00000C000000}" name="MinutoTotal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4"/>
  <sheetViews>
    <sheetView showGridLines="0" zoomScaleNormal="100" workbookViewId="0">
      <selection activeCell="A44" sqref="A44"/>
    </sheetView>
  </sheetViews>
  <sheetFormatPr baseColWidth="10" defaultColWidth="8.6640625" defaultRowHeight="14.4" x14ac:dyDescent="0.3"/>
  <cols>
    <col min="1" max="1" width="118" customWidth="1"/>
  </cols>
  <sheetData>
    <row r="1" spans="1:1" ht="17.399999999999999" x14ac:dyDescent="0.3">
      <c r="A1" s="1" t="s">
        <v>0</v>
      </c>
    </row>
    <row r="2" spans="1:1" x14ac:dyDescent="0.3">
      <c r="A2" s="2"/>
    </row>
    <row r="3" spans="1:1" x14ac:dyDescent="0.3">
      <c r="A3" s="3" t="s">
        <v>1</v>
      </c>
    </row>
    <row r="4" spans="1:1" x14ac:dyDescent="0.3">
      <c r="A4" s="2" t="s">
        <v>2</v>
      </c>
    </row>
    <row r="5" spans="1:1" x14ac:dyDescent="0.3">
      <c r="A5" s="2" t="s">
        <v>3</v>
      </c>
    </row>
    <row r="6" spans="1:1" x14ac:dyDescent="0.3">
      <c r="A6" s="2" t="s">
        <v>4</v>
      </c>
    </row>
    <row r="7" spans="1:1" x14ac:dyDescent="0.3">
      <c r="A7" s="2" t="s">
        <v>5</v>
      </c>
    </row>
    <row r="8" spans="1:1" x14ac:dyDescent="0.3">
      <c r="A8" s="2"/>
    </row>
    <row r="9" spans="1:1" x14ac:dyDescent="0.3">
      <c r="A9" s="3" t="s">
        <v>6</v>
      </c>
    </row>
    <row r="10" spans="1:1" x14ac:dyDescent="0.3">
      <c r="A10" s="2" t="s">
        <v>7</v>
      </c>
    </row>
    <row r="11" spans="1:1" x14ac:dyDescent="0.3">
      <c r="A11" s="2" t="s">
        <v>8</v>
      </c>
    </row>
    <row r="12" spans="1:1" x14ac:dyDescent="0.3">
      <c r="A12" s="2" t="s">
        <v>9</v>
      </c>
    </row>
    <row r="13" spans="1:1" x14ac:dyDescent="0.3">
      <c r="A13" s="2" t="s">
        <v>10</v>
      </c>
    </row>
    <row r="14" spans="1:1" x14ac:dyDescent="0.3">
      <c r="A14" s="2" t="s">
        <v>11</v>
      </c>
    </row>
    <row r="15" spans="1:1" x14ac:dyDescent="0.3">
      <c r="A15" s="2"/>
    </row>
    <row r="16" spans="1:1" x14ac:dyDescent="0.3">
      <c r="A16" s="3" t="s">
        <v>12</v>
      </c>
    </row>
    <row r="17" spans="1:1" x14ac:dyDescent="0.3">
      <c r="A17" s="2" t="s">
        <v>13</v>
      </c>
    </row>
    <row r="18" spans="1:1" x14ac:dyDescent="0.3">
      <c r="A18" s="2" t="s">
        <v>14</v>
      </c>
    </row>
    <row r="19" spans="1:1" x14ac:dyDescent="0.3">
      <c r="A19" s="2" t="s">
        <v>15</v>
      </c>
    </row>
    <row r="20" spans="1:1" x14ac:dyDescent="0.3">
      <c r="A20" s="2" t="s">
        <v>16</v>
      </c>
    </row>
    <row r="21" spans="1:1" x14ac:dyDescent="0.3">
      <c r="A21" s="2" t="s">
        <v>17</v>
      </c>
    </row>
    <row r="22" spans="1:1" x14ac:dyDescent="0.3">
      <c r="A22" s="2" t="s">
        <v>18</v>
      </c>
    </row>
    <row r="23" spans="1:1" x14ac:dyDescent="0.3">
      <c r="A23" s="2"/>
    </row>
    <row r="24" spans="1:1" x14ac:dyDescent="0.3">
      <c r="A24" s="3" t="s">
        <v>19</v>
      </c>
    </row>
    <row r="25" spans="1:1" x14ac:dyDescent="0.3">
      <c r="A25" s="2" t="s">
        <v>20</v>
      </c>
    </row>
    <row r="26" spans="1:1" x14ac:dyDescent="0.3">
      <c r="A26" s="2" t="s">
        <v>21</v>
      </c>
    </row>
    <row r="27" spans="1:1" x14ac:dyDescent="0.3">
      <c r="A27" s="2"/>
    </row>
    <row r="28" spans="1:1" x14ac:dyDescent="0.3">
      <c r="A28" s="3" t="s">
        <v>22</v>
      </c>
    </row>
    <row r="29" spans="1:1" x14ac:dyDescent="0.3">
      <c r="A29" s="2" t="s">
        <v>23</v>
      </c>
    </row>
    <row r="30" spans="1:1" x14ac:dyDescent="0.3">
      <c r="A30" s="2" t="s">
        <v>24</v>
      </c>
    </row>
    <row r="31" spans="1:1" x14ac:dyDescent="0.3">
      <c r="A31" s="2" t="s">
        <v>25</v>
      </c>
    </row>
    <row r="32" spans="1:1" x14ac:dyDescent="0.3">
      <c r="A32" s="2" t="s">
        <v>26</v>
      </c>
    </row>
    <row r="33" spans="1:1" x14ac:dyDescent="0.3">
      <c r="A33" s="2"/>
    </row>
    <row r="34" spans="1:1" x14ac:dyDescent="0.3">
      <c r="A34" s="4" t="s">
        <v>27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zoomScaleNormal="100" workbookViewId="0">
      <pane ySplit="1" topLeftCell="A2" activePane="bottomLeft" state="frozen"/>
      <selection pane="bottomLeft" activeCell="C25" sqref="C25"/>
    </sheetView>
  </sheetViews>
  <sheetFormatPr baseColWidth="10" defaultColWidth="8.6640625" defaultRowHeight="14.4" x14ac:dyDescent="0.3"/>
  <cols>
    <col min="1" max="1" width="15" customWidth="1"/>
    <col min="2" max="2" width="24" customWidth="1"/>
    <col min="3" max="3" width="12" customWidth="1"/>
    <col min="4" max="4" width="26" customWidth="1"/>
    <col min="5" max="5" width="8" customWidth="1"/>
  </cols>
  <sheetData>
    <row r="1" spans="1:5" x14ac:dyDescent="0.3">
      <c r="A1" s="5" t="s">
        <v>28</v>
      </c>
      <c r="B1" s="5" t="s">
        <v>29</v>
      </c>
      <c r="C1" s="5" t="s">
        <v>30</v>
      </c>
      <c r="D1" s="5" t="s">
        <v>31</v>
      </c>
      <c r="E1" s="5" t="s">
        <v>32</v>
      </c>
    </row>
    <row r="2" spans="1:5" x14ac:dyDescent="0.3">
      <c r="A2" s="2">
        <v>1</v>
      </c>
      <c r="B2" s="2" t="s">
        <v>33</v>
      </c>
      <c r="C2" s="2" t="s">
        <v>34</v>
      </c>
      <c r="D2" s="2" t="s">
        <v>35</v>
      </c>
      <c r="E2" s="2">
        <v>1</v>
      </c>
    </row>
    <row r="3" spans="1:5" x14ac:dyDescent="0.3">
      <c r="A3" s="2">
        <v>2</v>
      </c>
      <c r="B3" s="2" t="s">
        <v>36</v>
      </c>
      <c r="C3" s="2" t="s">
        <v>37</v>
      </c>
      <c r="D3" s="2" t="s">
        <v>38</v>
      </c>
      <c r="E3" s="2">
        <v>2</v>
      </c>
    </row>
    <row r="4" spans="1:5" x14ac:dyDescent="0.3">
      <c r="A4" s="2">
        <v>3</v>
      </c>
      <c r="B4" s="2" t="s">
        <v>39</v>
      </c>
      <c r="C4" s="2" t="s">
        <v>34</v>
      </c>
      <c r="D4" s="2" t="s">
        <v>40</v>
      </c>
      <c r="E4" s="2">
        <v>3</v>
      </c>
    </row>
    <row r="5" spans="1:5" x14ac:dyDescent="0.3">
      <c r="A5" s="2">
        <v>4</v>
      </c>
      <c r="B5" s="2" t="s">
        <v>41</v>
      </c>
      <c r="C5" s="2" t="s">
        <v>34</v>
      </c>
      <c r="D5" s="2" t="s">
        <v>40</v>
      </c>
      <c r="E5" s="2">
        <v>4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3"/>
  <sheetViews>
    <sheetView zoomScaleNormal="100" workbookViewId="0">
      <pane ySplit="1" topLeftCell="A2" activePane="bottomLeft" state="frozen"/>
      <selection pane="bottomLeft" activeCell="J19" sqref="J19"/>
    </sheetView>
  </sheetViews>
  <sheetFormatPr baseColWidth="10" defaultColWidth="8.6640625" defaultRowHeight="14.4" x14ac:dyDescent="0.3"/>
  <cols>
    <col min="1" max="1" width="12" customWidth="1"/>
    <col min="2" max="2" width="24" customWidth="1"/>
    <col min="3" max="3" width="16" customWidth="1"/>
    <col min="4" max="4" width="9" customWidth="1"/>
    <col min="5" max="5" width="16" customWidth="1"/>
    <col min="6" max="6" width="14" customWidth="1"/>
    <col min="7" max="7" width="8" customWidth="1"/>
    <col min="8" max="8" width="13" customWidth="1"/>
  </cols>
  <sheetData>
    <row r="1" spans="1:8" x14ac:dyDescent="0.3">
      <c r="A1" s="5" t="s">
        <v>42</v>
      </c>
      <c r="B1" s="5" t="s">
        <v>43</v>
      </c>
      <c r="C1" s="5" t="s">
        <v>44</v>
      </c>
      <c r="D1" s="5" t="s">
        <v>45</v>
      </c>
      <c r="E1" s="5" t="s">
        <v>46</v>
      </c>
      <c r="F1" s="5" t="s">
        <v>47</v>
      </c>
      <c r="G1" s="5" t="s">
        <v>48</v>
      </c>
      <c r="H1" s="5" t="s">
        <v>49</v>
      </c>
    </row>
    <row r="2" spans="1:8" x14ac:dyDescent="0.3">
      <c r="A2" s="2" t="s">
        <v>50</v>
      </c>
      <c r="B2" s="2" t="s">
        <v>51</v>
      </c>
      <c r="C2" s="2" t="s">
        <v>52</v>
      </c>
      <c r="D2" s="2"/>
      <c r="E2" s="2" t="s">
        <v>53</v>
      </c>
      <c r="F2" s="2"/>
      <c r="G2" s="2"/>
      <c r="H2" s="2" t="s">
        <v>54</v>
      </c>
    </row>
    <row r="3" spans="1:8" x14ac:dyDescent="0.3">
      <c r="A3" s="2" t="s">
        <v>55</v>
      </c>
      <c r="B3" s="2" t="s">
        <v>56</v>
      </c>
      <c r="C3" s="2" t="s">
        <v>57</v>
      </c>
      <c r="D3" s="2">
        <v>1</v>
      </c>
      <c r="E3" s="2" t="s">
        <v>58</v>
      </c>
      <c r="F3" s="2" t="s">
        <v>59</v>
      </c>
      <c r="G3" s="2">
        <v>25</v>
      </c>
      <c r="H3" s="2" t="s">
        <v>60</v>
      </c>
    </row>
    <row r="4" spans="1:8" x14ac:dyDescent="0.3">
      <c r="A4" s="2" t="s">
        <v>61</v>
      </c>
      <c r="B4" s="2" t="s">
        <v>62</v>
      </c>
      <c r="C4" s="2" t="s">
        <v>63</v>
      </c>
      <c r="D4" s="2">
        <v>13</v>
      </c>
      <c r="E4" s="2" t="s">
        <v>58</v>
      </c>
      <c r="F4" s="2" t="s">
        <v>64</v>
      </c>
      <c r="G4" s="2">
        <v>36</v>
      </c>
      <c r="H4" s="2" t="s">
        <v>60</v>
      </c>
    </row>
    <row r="5" spans="1:8" x14ac:dyDescent="0.3">
      <c r="A5" s="2" t="s">
        <v>65</v>
      </c>
      <c r="B5" s="2" t="s">
        <v>66</v>
      </c>
      <c r="C5" s="2" t="s">
        <v>67</v>
      </c>
      <c r="D5" s="2">
        <v>25</v>
      </c>
      <c r="E5" s="2" t="s">
        <v>58</v>
      </c>
      <c r="F5" s="2" t="s">
        <v>68</v>
      </c>
      <c r="G5" s="2">
        <v>31</v>
      </c>
      <c r="H5" s="2" t="s">
        <v>60</v>
      </c>
    </row>
    <row r="6" spans="1:8" x14ac:dyDescent="0.3">
      <c r="A6" s="2" t="s">
        <v>69</v>
      </c>
      <c r="B6" s="2" t="s">
        <v>70</v>
      </c>
      <c r="C6" s="2" t="s">
        <v>71</v>
      </c>
      <c r="D6" s="2">
        <v>31</v>
      </c>
      <c r="E6" s="2" t="s">
        <v>58</v>
      </c>
      <c r="F6" s="2" t="s">
        <v>59</v>
      </c>
      <c r="G6" s="2">
        <v>19</v>
      </c>
      <c r="H6" s="2" t="s">
        <v>60</v>
      </c>
    </row>
    <row r="7" spans="1:8" x14ac:dyDescent="0.3">
      <c r="A7" s="2" t="s">
        <v>72</v>
      </c>
      <c r="B7" s="2" t="s">
        <v>73</v>
      </c>
      <c r="C7" s="2" t="s">
        <v>74</v>
      </c>
      <c r="D7" s="2">
        <v>23</v>
      </c>
      <c r="E7" s="2" t="s">
        <v>75</v>
      </c>
      <c r="F7" s="2" t="s">
        <v>76</v>
      </c>
      <c r="G7" s="2">
        <v>27</v>
      </c>
      <c r="H7" s="2" t="s">
        <v>60</v>
      </c>
    </row>
    <row r="8" spans="1:8" x14ac:dyDescent="0.3">
      <c r="A8" s="2" t="s">
        <v>77</v>
      </c>
      <c r="B8" s="2" t="s">
        <v>78</v>
      </c>
      <c r="C8" s="2" t="s">
        <v>79</v>
      </c>
      <c r="D8" s="2">
        <v>5</v>
      </c>
      <c r="E8" s="2" t="s">
        <v>75</v>
      </c>
      <c r="F8" s="2" t="s">
        <v>59</v>
      </c>
      <c r="G8" s="2">
        <v>19</v>
      </c>
      <c r="H8" s="2" t="s">
        <v>60</v>
      </c>
    </row>
    <row r="9" spans="1:8" x14ac:dyDescent="0.3">
      <c r="A9" s="2" t="s">
        <v>80</v>
      </c>
      <c r="B9" s="2" t="s">
        <v>81</v>
      </c>
      <c r="C9" s="2" t="s">
        <v>82</v>
      </c>
      <c r="D9" s="2">
        <v>15</v>
      </c>
      <c r="E9" s="2" t="s">
        <v>75</v>
      </c>
      <c r="F9" s="2" t="s">
        <v>83</v>
      </c>
      <c r="G9" s="2">
        <v>30</v>
      </c>
      <c r="H9" s="2" t="s">
        <v>60</v>
      </c>
    </row>
    <row r="10" spans="1:8" x14ac:dyDescent="0.3">
      <c r="A10" s="2" t="s">
        <v>84</v>
      </c>
      <c r="B10" s="2" t="s">
        <v>85</v>
      </c>
      <c r="C10" s="2" t="s">
        <v>86</v>
      </c>
      <c r="D10" s="2">
        <v>3</v>
      </c>
      <c r="E10" s="2" t="s">
        <v>75</v>
      </c>
      <c r="F10" s="2" t="s">
        <v>59</v>
      </c>
      <c r="G10" s="2">
        <v>22</v>
      </c>
      <c r="H10" s="2" t="s">
        <v>60</v>
      </c>
    </row>
    <row r="11" spans="1:8" x14ac:dyDescent="0.3">
      <c r="A11" s="2" t="s">
        <v>87</v>
      </c>
      <c r="B11" s="2" t="s">
        <v>88</v>
      </c>
      <c r="C11" s="2" t="s">
        <v>89</v>
      </c>
      <c r="D11" s="2">
        <v>18</v>
      </c>
      <c r="E11" s="2" t="s">
        <v>75</v>
      </c>
      <c r="F11" s="2" t="s">
        <v>59</v>
      </c>
      <c r="G11" s="2">
        <v>24</v>
      </c>
      <c r="H11" s="2" t="s">
        <v>60</v>
      </c>
    </row>
    <row r="12" spans="1:8" x14ac:dyDescent="0.3">
      <c r="A12" s="2" t="s">
        <v>90</v>
      </c>
      <c r="B12" s="2" t="s">
        <v>91</v>
      </c>
      <c r="C12" s="2" t="s">
        <v>92</v>
      </c>
      <c r="D12" s="2">
        <v>24</v>
      </c>
      <c r="E12" s="2" t="s">
        <v>75</v>
      </c>
      <c r="F12" s="2" t="s">
        <v>59</v>
      </c>
      <c r="G12" s="2">
        <v>25</v>
      </c>
      <c r="H12" s="2" t="s">
        <v>60</v>
      </c>
    </row>
    <row r="13" spans="1:8" x14ac:dyDescent="0.3">
      <c r="A13" s="2" t="s">
        <v>93</v>
      </c>
      <c r="B13" s="2" t="s">
        <v>94</v>
      </c>
      <c r="C13" s="2" t="s">
        <v>95</v>
      </c>
      <c r="D13" s="2">
        <v>2</v>
      </c>
      <c r="E13" s="2" t="s">
        <v>75</v>
      </c>
      <c r="F13" s="2" t="s">
        <v>96</v>
      </c>
      <c r="G13" s="2">
        <v>32</v>
      </c>
      <c r="H13" s="2" t="s">
        <v>60</v>
      </c>
    </row>
    <row r="14" spans="1:8" x14ac:dyDescent="0.3">
      <c r="A14" s="2" t="s">
        <v>97</v>
      </c>
      <c r="B14" s="2" t="s">
        <v>98</v>
      </c>
      <c r="C14" s="2" t="s">
        <v>99</v>
      </c>
      <c r="D14" s="2">
        <v>12</v>
      </c>
      <c r="E14" s="2" t="s">
        <v>75</v>
      </c>
      <c r="F14" s="2" t="s">
        <v>59</v>
      </c>
      <c r="G14" s="2">
        <v>19</v>
      </c>
      <c r="H14" s="2" t="s">
        <v>60</v>
      </c>
    </row>
    <row r="15" spans="1:8" x14ac:dyDescent="0.3">
      <c r="A15" s="2" t="s">
        <v>100</v>
      </c>
      <c r="B15" s="2" t="s">
        <v>101</v>
      </c>
      <c r="C15" s="2" t="s">
        <v>102</v>
      </c>
      <c r="D15" s="2">
        <v>26</v>
      </c>
      <c r="E15" s="2" t="s">
        <v>75</v>
      </c>
      <c r="F15" s="2" t="s">
        <v>59</v>
      </c>
      <c r="G15" s="2">
        <v>21</v>
      </c>
      <c r="H15" s="2" t="s">
        <v>60</v>
      </c>
    </row>
    <row r="16" spans="1:8" x14ac:dyDescent="0.3">
      <c r="A16" s="2" t="s">
        <v>103</v>
      </c>
      <c r="B16" s="2" t="s">
        <v>104</v>
      </c>
      <c r="C16" s="2" t="s">
        <v>105</v>
      </c>
      <c r="D16" s="2">
        <v>33</v>
      </c>
      <c r="E16" s="2" t="s">
        <v>75</v>
      </c>
      <c r="F16" s="2" t="s">
        <v>59</v>
      </c>
      <c r="G16" s="2">
        <v>17</v>
      </c>
      <c r="H16" s="2" t="s">
        <v>60</v>
      </c>
    </row>
    <row r="17" spans="1:8" x14ac:dyDescent="0.3">
      <c r="A17" s="2" t="s">
        <v>106</v>
      </c>
      <c r="B17" s="2" t="s">
        <v>107</v>
      </c>
      <c r="C17" s="2" t="s">
        <v>107</v>
      </c>
      <c r="D17" s="2">
        <v>8</v>
      </c>
      <c r="E17" s="2" t="s">
        <v>108</v>
      </c>
      <c r="F17" s="2" t="s">
        <v>59</v>
      </c>
      <c r="G17" s="2">
        <v>23</v>
      </c>
      <c r="H17" s="2" t="s">
        <v>60</v>
      </c>
    </row>
    <row r="18" spans="1:8" x14ac:dyDescent="0.3">
      <c r="A18" s="2" t="s">
        <v>109</v>
      </c>
      <c r="B18" s="2" t="s">
        <v>110</v>
      </c>
      <c r="C18" s="2" t="s">
        <v>111</v>
      </c>
      <c r="D18" s="2">
        <v>21</v>
      </c>
      <c r="E18" s="2" t="s">
        <v>108</v>
      </c>
      <c r="F18" s="2" t="s">
        <v>112</v>
      </c>
      <c r="G18" s="2">
        <v>29</v>
      </c>
      <c r="H18" s="2" t="s">
        <v>60</v>
      </c>
    </row>
    <row r="19" spans="1:8" x14ac:dyDescent="0.3">
      <c r="A19" s="2" t="s">
        <v>113</v>
      </c>
      <c r="B19" s="2" t="s">
        <v>114</v>
      </c>
      <c r="C19" s="2" t="s">
        <v>114</v>
      </c>
      <c r="D19" s="2">
        <v>6</v>
      </c>
      <c r="E19" s="2" t="s">
        <v>108</v>
      </c>
      <c r="F19" s="2" t="s">
        <v>59</v>
      </c>
      <c r="G19" s="2">
        <v>22</v>
      </c>
      <c r="H19" s="2" t="s">
        <v>60</v>
      </c>
    </row>
    <row r="20" spans="1:8" x14ac:dyDescent="0.3">
      <c r="A20" s="2" t="s">
        <v>115</v>
      </c>
      <c r="B20" s="2" t="s">
        <v>116</v>
      </c>
      <c r="C20" s="2" t="s">
        <v>117</v>
      </c>
      <c r="D20" s="2">
        <v>20</v>
      </c>
      <c r="E20" s="2" t="s">
        <v>108</v>
      </c>
      <c r="F20" s="2" t="s">
        <v>59</v>
      </c>
      <c r="G20" s="2">
        <v>28</v>
      </c>
      <c r="H20" s="2" t="s">
        <v>60</v>
      </c>
    </row>
    <row r="21" spans="1:8" x14ac:dyDescent="0.3">
      <c r="A21" s="2" t="s">
        <v>118</v>
      </c>
      <c r="B21" s="2" t="s">
        <v>119</v>
      </c>
      <c r="C21" s="2" t="s">
        <v>120</v>
      </c>
      <c r="D21" s="2">
        <v>7</v>
      </c>
      <c r="E21" s="2" t="s">
        <v>108</v>
      </c>
      <c r="F21" s="2" t="s">
        <v>59</v>
      </c>
      <c r="G21" s="2">
        <v>23</v>
      </c>
      <c r="H21" s="2" t="s">
        <v>60</v>
      </c>
    </row>
    <row r="22" spans="1:8" x14ac:dyDescent="0.3">
      <c r="A22" s="2" t="s">
        <v>121</v>
      </c>
      <c r="B22" s="2" t="s">
        <v>122</v>
      </c>
      <c r="C22" s="2" t="s">
        <v>123</v>
      </c>
      <c r="D22" s="2">
        <v>22</v>
      </c>
      <c r="E22" s="2" t="s">
        <v>108</v>
      </c>
      <c r="F22" s="2" t="s">
        <v>59</v>
      </c>
      <c r="G22" s="2">
        <v>19</v>
      </c>
      <c r="H22" s="2" t="s">
        <v>60</v>
      </c>
    </row>
    <row r="23" spans="1:8" x14ac:dyDescent="0.3">
      <c r="A23" s="2" t="s">
        <v>124</v>
      </c>
      <c r="B23" s="2" t="s">
        <v>125</v>
      </c>
      <c r="C23" s="2" t="s">
        <v>125</v>
      </c>
      <c r="D23" s="2">
        <v>16</v>
      </c>
      <c r="E23" s="2" t="s">
        <v>108</v>
      </c>
      <c r="F23" s="2" t="s">
        <v>59</v>
      </c>
      <c r="G23" s="2">
        <v>30</v>
      </c>
      <c r="H23" s="2" t="s">
        <v>60</v>
      </c>
    </row>
    <row r="24" spans="1:8" x14ac:dyDescent="0.3">
      <c r="A24" s="2" t="s">
        <v>126</v>
      </c>
      <c r="B24" s="2" t="s">
        <v>127</v>
      </c>
      <c r="C24" s="2" t="s">
        <v>128</v>
      </c>
      <c r="D24" s="2"/>
      <c r="E24" s="2" t="s">
        <v>108</v>
      </c>
      <c r="F24" s="2" t="s">
        <v>59</v>
      </c>
      <c r="G24" s="2">
        <v>22</v>
      </c>
      <c r="H24" s="2" t="s">
        <v>60</v>
      </c>
    </row>
    <row r="25" spans="1:8" x14ac:dyDescent="0.3">
      <c r="A25" s="2" t="s">
        <v>129</v>
      </c>
      <c r="B25" s="2" t="s">
        <v>130</v>
      </c>
      <c r="C25" s="2" t="s">
        <v>131</v>
      </c>
      <c r="D25" s="2">
        <v>28</v>
      </c>
      <c r="E25" s="2" t="s">
        <v>108</v>
      </c>
      <c r="F25" s="2" t="s">
        <v>59</v>
      </c>
      <c r="G25" s="2">
        <v>20</v>
      </c>
      <c r="H25" s="2" t="s">
        <v>60</v>
      </c>
    </row>
    <row r="26" spans="1:8" x14ac:dyDescent="0.3">
      <c r="A26" s="2" t="s">
        <v>132</v>
      </c>
      <c r="B26" s="2" t="s">
        <v>133</v>
      </c>
      <c r="C26" s="2" t="s">
        <v>134</v>
      </c>
      <c r="D26" s="2">
        <v>10</v>
      </c>
      <c r="E26" s="2" t="s">
        <v>135</v>
      </c>
      <c r="F26" s="2" t="s">
        <v>59</v>
      </c>
      <c r="G26" s="2">
        <v>19</v>
      </c>
      <c r="H26" s="2" t="s">
        <v>60</v>
      </c>
    </row>
    <row r="27" spans="1:8" x14ac:dyDescent="0.3">
      <c r="A27" s="2" t="s">
        <v>136</v>
      </c>
      <c r="B27" s="2" t="s">
        <v>137</v>
      </c>
      <c r="C27" s="2" t="s">
        <v>137</v>
      </c>
      <c r="D27" s="2">
        <v>11</v>
      </c>
      <c r="E27" s="2" t="s">
        <v>135</v>
      </c>
      <c r="F27" s="2" t="s">
        <v>138</v>
      </c>
      <c r="G27" s="2">
        <v>29</v>
      </c>
      <c r="H27" s="2" t="s">
        <v>60</v>
      </c>
    </row>
    <row r="28" spans="1:8" x14ac:dyDescent="0.3">
      <c r="A28" s="2" t="s">
        <v>139</v>
      </c>
      <c r="B28" s="2" t="s">
        <v>140</v>
      </c>
      <c r="C28" s="2" t="s">
        <v>141</v>
      </c>
      <c r="D28" s="2">
        <v>17</v>
      </c>
      <c r="E28" s="2" t="s">
        <v>135</v>
      </c>
      <c r="F28" s="2" t="s">
        <v>142</v>
      </c>
      <c r="G28" s="2">
        <v>25</v>
      </c>
      <c r="H28" s="2" t="s">
        <v>60</v>
      </c>
    </row>
    <row r="29" spans="1:8" x14ac:dyDescent="0.3">
      <c r="A29" s="2" t="s">
        <v>143</v>
      </c>
      <c r="B29" s="2" t="s">
        <v>144</v>
      </c>
      <c r="C29" s="2" t="s">
        <v>145</v>
      </c>
      <c r="D29" s="2">
        <v>14</v>
      </c>
      <c r="E29" s="2" t="s">
        <v>135</v>
      </c>
      <c r="F29" s="2" t="s">
        <v>146</v>
      </c>
      <c r="G29" s="2">
        <v>24</v>
      </c>
      <c r="H29" s="2" t="s">
        <v>60</v>
      </c>
    </row>
    <row r="30" spans="1:8" x14ac:dyDescent="0.3">
      <c r="A30" s="2" t="s">
        <v>147</v>
      </c>
      <c r="B30" s="2" t="s">
        <v>148</v>
      </c>
      <c r="C30" s="2" t="s">
        <v>149</v>
      </c>
      <c r="D30" s="2">
        <v>9</v>
      </c>
      <c r="E30" s="2" t="s">
        <v>135</v>
      </c>
      <c r="F30" s="2" t="s">
        <v>138</v>
      </c>
      <c r="G30" s="2">
        <v>29</v>
      </c>
      <c r="H30" s="2" t="s">
        <v>60</v>
      </c>
    </row>
    <row r="31" spans="1:8" x14ac:dyDescent="0.3">
      <c r="A31" s="2" t="s">
        <v>150</v>
      </c>
      <c r="B31" s="2" t="s">
        <v>151</v>
      </c>
      <c r="C31" s="2" t="s">
        <v>152</v>
      </c>
      <c r="D31" s="2">
        <v>19</v>
      </c>
      <c r="E31" s="2" t="s">
        <v>135</v>
      </c>
      <c r="F31" s="2" t="s">
        <v>153</v>
      </c>
      <c r="G31" s="2">
        <v>20</v>
      </c>
      <c r="H31" s="2" t="s">
        <v>60</v>
      </c>
    </row>
    <row r="32" spans="1:8" x14ac:dyDescent="0.3">
      <c r="A32" s="2" t="s">
        <v>154</v>
      </c>
      <c r="B32" s="2" t="s">
        <v>155</v>
      </c>
      <c r="C32" s="2" t="s">
        <v>156</v>
      </c>
      <c r="D32" s="2">
        <v>29</v>
      </c>
      <c r="E32" s="2" t="s">
        <v>135</v>
      </c>
      <c r="F32" s="2" t="s">
        <v>157</v>
      </c>
      <c r="G32" s="2">
        <v>18</v>
      </c>
      <c r="H32" s="2" t="s">
        <v>60</v>
      </c>
    </row>
    <row r="33" spans="1:8" x14ac:dyDescent="0.3">
      <c r="A33" s="2" t="s">
        <v>158</v>
      </c>
      <c r="B33" s="2" t="s">
        <v>159</v>
      </c>
      <c r="C33" s="2" t="s">
        <v>160</v>
      </c>
      <c r="D33" s="2">
        <v>0</v>
      </c>
      <c r="E33" s="2" t="s">
        <v>135</v>
      </c>
      <c r="F33" s="2" t="s">
        <v>161</v>
      </c>
      <c r="G33" s="2">
        <v>18</v>
      </c>
      <c r="H33" s="2" t="s">
        <v>60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1"/>
  <sheetViews>
    <sheetView zoomScaleNormal="100" workbookViewId="0">
      <pane ySplit="1" topLeftCell="A2" activePane="bottomLeft" state="frozen"/>
      <selection pane="bottomLeft" activeCell="O12" sqref="O12"/>
    </sheetView>
  </sheetViews>
  <sheetFormatPr baseColWidth="10" defaultColWidth="8.6640625" defaultRowHeight="14.4" x14ac:dyDescent="0.3"/>
  <cols>
    <col min="1" max="2" width="12" customWidth="1"/>
    <col min="3" max="3" width="15" customWidth="1"/>
    <col min="4" max="4" width="18" customWidth="1"/>
    <col min="5" max="5" width="20" customWidth="1"/>
    <col min="6" max="6" width="12" customWidth="1"/>
    <col min="7" max="7" width="20" customWidth="1"/>
    <col min="8" max="8" width="12" customWidth="1"/>
    <col min="9" max="9" width="13" customWidth="1"/>
    <col min="10" max="10" width="12" customWidth="1"/>
    <col min="11" max="11" width="9" customWidth="1"/>
    <col min="12" max="12" width="11.88671875" bestFit="1" customWidth="1"/>
    <col min="13" max="13" width="30" customWidth="1"/>
    <col min="14" max="14" width="12" customWidth="1"/>
  </cols>
  <sheetData>
    <row r="1" spans="1:14" x14ac:dyDescent="0.3">
      <c r="A1" s="5" t="s">
        <v>162</v>
      </c>
      <c r="B1" s="5" t="s">
        <v>163</v>
      </c>
      <c r="C1" s="5" t="s">
        <v>28</v>
      </c>
      <c r="D1" s="5" t="s">
        <v>164</v>
      </c>
      <c r="E1" s="5" t="s">
        <v>52</v>
      </c>
      <c r="F1" s="5" t="s">
        <v>165</v>
      </c>
      <c r="G1" s="5" t="s">
        <v>166</v>
      </c>
      <c r="H1" s="5" t="s">
        <v>167</v>
      </c>
      <c r="I1" s="5" t="s">
        <v>168</v>
      </c>
      <c r="J1" s="5" t="s">
        <v>169</v>
      </c>
      <c r="K1" s="5" t="s">
        <v>170</v>
      </c>
      <c r="L1" s="5" t="s">
        <v>171</v>
      </c>
      <c r="M1" s="5" t="s">
        <v>172</v>
      </c>
      <c r="N1" s="5" t="s">
        <v>173</v>
      </c>
    </row>
    <row r="2" spans="1:14" x14ac:dyDescent="0.3">
      <c r="A2" s="2" t="s">
        <v>174</v>
      </c>
      <c r="B2" s="6">
        <v>46257</v>
      </c>
      <c r="C2" s="2">
        <v>1</v>
      </c>
      <c r="D2" s="2" t="s">
        <v>175</v>
      </c>
      <c r="E2" s="2" t="s">
        <v>176</v>
      </c>
      <c r="F2" s="2" t="s">
        <v>177</v>
      </c>
      <c r="G2" s="2" t="s">
        <v>178</v>
      </c>
      <c r="H2" s="7">
        <v>5</v>
      </c>
      <c r="I2" s="7">
        <v>0</v>
      </c>
      <c r="J2" s="2" t="str">
        <f>IF(H2&gt;I2,"Victoria",IF(H2=I2,"Empate","Derrota"))</f>
        <v>Victoria</v>
      </c>
      <c r="K2" s="2">
        <f>IF(H2&gt;I2,3,IF(H2=I2,1,0))</f>
        <v>3</v>
      </c>
      <c r="L2" s="2" t="s">
        <v>60</v>
      </c>
      <c r="M2" s="2" t="s">
        <v>441</v>
      </c>
      <c r="N2" s="2">
        <v>30704</v>
      </c>
    </row>
    <row r="3" spans="1:14" x14ac:dyDescent="0.3">
      <c r="A3" s="2" t="s">
        <v>179</v>
      </c>
      <c r="B3" s="6">
        <v>46261</v>
      </c>
      <c r="C3" s="2">
        <v>1</v>
      </c>
      <c r="D3" s="2" t="s">
        <v>180</v>
      </c>
      <c r="E3" s="2" t="s">
        <v>181</v>
      </c>
      <c r="F3" s="2" t="s">
        <v>182</v>
      </c>
      <c r="G3" s="2" t="s">
        <v>183</v>
      </c>
      <c r="H3" s="7">
        <v>2</v>
      </c>
      <c r="I3" s="7">
        <v>0</v>
      </c>
      <c r="J3" s="2" t="str">
        <f>IF(H3&gt;I3,"Victoria",IF(H3=I3,"Empate","Derrota"))</f>
        <v>Victoria</v>
      </c>
      <c r="K3" s="2">
        <f>IF(H3&gt;I3,3,IF(H3=I3,1,0))</f>
        <v>3</v>
      </c>
      <c r="L3" s="2" t="s">
        <v>60</v>
      </c>
      <c r="M3" s="2" t="s">
        <v>442</v>
      </c>
      <c r="N3" s="2">
        <v>59326</v>
      </c>
    </row>
    <row r="4" spans="1:14" x14ac:dyDescent="0.3">
      <c r="A4" s="2" t="s">
        <v>184</v>
      </c>
      <c r="B4" s="6">
        <v>46265</v>
      </c>
      <c r="C4" s="2">
        <v>1</v>
      </c>
      <c r="D4" s="2" t="s">
        <v>185</v>
      </c>
      <c r="E4" s="2" t="s">
        <v>186</v>
      </c>
      <c r="F4" s="2" t="s">
        <v>182</v>
      </c>
      <c r="G4" s="2" t="s">
        <v>183</v>
      </c>
      <c r="H4" s="7">
        <v>5</v>
      </c>
      <c r="I4" s="7">
        <v>2</v>
      </c>
      <c r="J4" s="2" t="str">
        <f>IF(H4&gt;I4,"Victoria",IF(H4=I4,"Empate","Derrota"))</f>
        <v>Victoria</v>
      </c>
      <c r="K4" s="2">
        <f>IF(H4&gt;I4,3,IF(H4=I4,1,0))</f>
        <v>3</v>
      </c>
      <c r="L4" s="2" t="s">
        <v>60</v>
      </c>
      <c r="M4" s="2" t="s">
        <v>187</v>
      </c>
      <c r="N4" s="2">
        <v>57768</v>
      </c>
    </row>
    <row r="5" spans="1:14" x14ac:dyDescent="0.3">
      <c r="A5" s="2" t="s">
        <v>188</v>
      </c>
      <c r="B5" s="6">
        <v>46271</v>
      </c>
      <c r="C5" s="2">
        <v>1</v>
      </c>
      <c r="D5" s="2" t="s">
        <v>189</v>
      </c>
      <c r="E5" s="2" t="s">
        <v>190</v>
      </c>
      <c r="F5" s="2" t="s">
        <v>177</v>
      </c>
      <c r="G5" s="2" t="s">
        <v>438</v>
      </c>
      <c r="H5" s="7">
        <v>5</v>
      </c>
      <c r="I5" s="7">
        <v>0</v>
      </c>
      <c r="J5" s="2" t="s">
        <v>439</v>
      </c>
      <c r="K5" s="2">
        <v>3</v>
      </c>
      <c r="L5" s="2" t="s">
        <v>60</v>
      </c>
      <c r="M5" s="2" t="s">
        <v>440</v>
      </c>
      <c r="N5" s="2">
        <v>47319</v>
      </c>
    </row>
    <row r="6" spans="1:14" x14ac:dyDescent="0.3">
      <c r="A6" s="2" t="s">
        <v>191</v>
      </c>
      <c r="B6" s="6">
        <v>46278</v>
      </c>
      <c r="C6" s="2">
        <v>1</v>
      </c>
      <c r="D6" s="2" t="s">
        <v>192</v>
      </c>
      <c r="E6" s="2" t="s">
        <v>193</v>
      </c>
      <c r="F6" s="2" t="s">
        <v>177</v>
      </c>
      <c r="G6" s="2"/>
      <c r="H6" s="7"/>
      <c r="I6" s="7"/>
      <c r="J6" s="2"/>
      <c r="K6" s="2"/>
      <c r="L6" s="2" t="s">
        <v>54</v>
      </c>
      <c r="M6" s="2"/>
      <c r="N6" s="2"/>
    </row>
    <row r="7" spans="1:14" x14ac:dyDescent="0.3">
      <c r="A7" s="2" t="s">
        <v>194</v>
      </c>
      <c r="B7" s="6">
        <v>46281</v>
      </c>
      <c r="C7" s="2">
        <v>1</v>
      </c>
      <c r="D7" s="2" t="s">
        <v>195</v>
      </c>
      <c r="E7" s="2" t="s">
        <v>196</v>
      </c>
      <c r="F7" s="2" t="s">
        <v>182</v>
      </c>
      <c r="G7" s="2" t="s">
        <v>183</v>
      </c>
      <c r="H7" s="7"/>
      <c r="I7" s="7"/>
      <c r="J7" s="2"/>
      <c r="K7" s="2"/>
      <c r="L7" s="2" t="s">
        <v>54</v>
      </c>
      <c r="M7" s="2"/>
      <c r="N7" s="2"/>
    </row>
    <row r="8" spans="1:14" x14ac:dyDescent="0.3">
      <c r="A8" s="2" t="s">
        <v>197</v>
      </c>
      <c r="B8" s="6">
        <v>46284</v>
      </c>
      <c r="C8" s="2">
        <v>1</v>
      </c>
      <c r="D8" s="2" t="s">
        <v>198</v>
      </c>
      <c r="E8" s="2" t="s">
        <v>199</v>
      </c>
      <c r="F8" s="2" t="s">
        <v>177</v>
      </c>
      <c r="G8" s="2"/>
      <c r="H8" s="7"/>
      <c r="I8" s="7"/>
      <c r="J8" s="2"/>
      <c r="K8" s="2"/>
      <c r="L8" s="2" t="s">
        <v>54</v>
      </c>
      <c r="M8" s="2"/>
      <c r="N8" s="2"/>
    </row>
    <row r="9" spans="1:14" x14ac:dyDescent="0.3">
      <c r="A9" s="2" t="s">
        <v>200</v>
      </c>
      <c r="B9" s="6">
        <v>46306</v>
      </c>
      <c r="C9" s="2">
        <v>1</v>
      </c>
      <c r="D9" s="2" t="s">
        <v>201</v>
      </c>
      <c r="E9" s="2" t="s">
        <v>202</v>
      </c>
      <c r="F9" s="2" t="s">
        <v>182</v>
      </c>
      <c r="G9" s="2" t="s">
        <v>183</v>
      </c>
      <c r="H9" s="7"/>
      <c r="I9" s="7"/>
      <c r="J9" s="2"/>
      <c r="K9" s="2"/>
      <c r="L9" s="2" t="s">
        <v>54</v>
      </c>
      <c r="M9" s="2"/>
      <c r="N9" s="2"/>
    </row>
    <row r="10" spans="1:14" x14ac:dyDescent="0.3">
      <c r="A10" s="2" t="s">
        <v>203</v>
      </c>
      <c r="B10" s="6">
        <v>46313</v>
      </c>
      <c r="C10" s="2">
        <v>1</v>
      </c>
      <c r="D10" s="2" t="s">
        <v>204</v>
      </c>
      <c r="E10" s="2" t="s">
        <v>205</v>
      </c>
      <c r="F10" s="2" t="s">
        <v>177</v>
      </c>
      <c r="G10" s="2"/>
      <c r="H10" s="7"/>
      <c r="I10" s="7"/>
      <c r="J10" s="2"/>
      <c r="K10" s="2"/>
      <c r="L10" s="2" t="s">
        <v>54</v>
      </c>
      <c r="M10" s="2"/>
      <c r="N10" s="2"/>
    </row>
    <row r="11" spans="1:14" x14ac:dyDescent="0.3">
      <c r="A11" s="2" t="s">
        <v>206</v>
      </c>
      <c r="B11" s="6">
        <v>46320</v>
      </c>
      <c r="C11" s="2">
        <v>1</v>
      </c>
      <c r="D11" s="2" t="s">
        <v>90</v>
      </c>
      <c r="E11" s="2" t="s">
        <v>207</v>
      </c>
      <c r="F11" s="2" t="s">
        <v>182</v>
      </c>
      <c r="G11" s="2" t="s">
        <v>183</v>
      </c>
      <c r="H11" s="7"/>
      <c r="I11" s="7"/>
      <c r="J11" s="2"/>
      <c r="K11" s="2"/>
      <c r="L11" s="2" t="s">
        <v>54</v>
      </c>
      <c r="M11" s="2"/>
      <c r="N11" s="2"/>
    </row>
    <row r="12" spans="1:14" x14ac:dyDescent="0.3">
      <c r="A12" s="2" t="s">
        <v>208</v>
      </c>
      <c r="B12" s="6">
        <v>46327</v>
      </c>
      <c r="C12" s="2">
        <v>1</v>
      </c>
      <c r="D12" s="2" t="s">
        <v>93</v>
      </c>
      <c r="E12" s="2" t="s">
        <v>209</v>
      </c>
      <c r="F12" s="2" t="s">
        <v>182</v>
      </c>
      <c r="G12" s="2" t="s">
        <v>183</v>
      </c>
      <c r="H12" s="7"/>
      <c r="I12" s="7"/>
      <c r="J12" s="2"/>
      <c r="K12" s="2"/>
      <c r="L12" s="2" t="s">
        <v>54</v>
      </c>
      <c r="M12" s="2"/>
      <c r="N12" s="2"/>
    </row>
    <row r="13" spans="1:14" x14ac:dyDescent="0.3">
      <c r="A13" s="2" t="s">
        <v>210</v>
      </c>
      <c r="B13" s="6">
        <v>46334</v>
      </c>
      <c r="C13" s="2">
        <v>1</v>
      </c>
      <c r="D13" s="2" t="s">
        <v>97</v>
      </c>
      <c r="E13" s="2" t="s">
        <v>211</v>
      </c>
      <c r="F13" s="2" t="s">
        <v>177</v>
      </c>
      <c r="G13" s="2"/>
      <c r="H13" s="7"/>
      <c r="I13" s="7"/>
      <c r="J13" s="2"/>
      <c r="K13" s="2"/>
      <c r="L13" s="2" t="s">
        <v>54</v>
      </c>
      <c r="M13" s="2"/>
      <c r="N13" s="2"/>
    </row>
    <row r="14" spans="1:14" x14ac:dyDescent="0.3">
      <c r="A14" s="2" t="s">
        <v>212</v>
      </c>
      <c r="B14" s="6">
        <v>46348</v>
      </c>
      <c r="C14" s="2">
        <v>1</v>
      </c>
      <c r="D14" s="2" t="s">
        <v>100</v>
      </c>
      <c r="E14" s="2" t="s">
        <v>213</v>
      </c>
      <c r="F14" s="2" t="s">
        <v>182</v>
      </c>
      <c r="G14" s="2" t="s">
        <v>183</v>
      </c>
      <c r="H14" s="7"/>
      <c r="I14" s="7"/>
      <c r="J14" s="2"/>
      <c r="K14" s="2"/>
      <c r="L14" s="2" t="s">
        <v>54</v>
      </c>
      <c r="M14" s="2"/>
      <c r="N14" s="2"/>
    </row>
    <row r="15" spans="1:14" x14ac:dyDescent="0.3">
      <c r="A15" s="2" t="s">
        <v>214</v>
      </c>
      <c r="B15" s="6">
        <v>46355</v>
      </c>
      <c r="C15" s="2">
        <v>1</v>
      </c>
      <c r="D15" s="2" t="s">
        <v>103</v>
      </c>
      <c r="E15" s="2" t="s">
        <v>215</v>
      </c>
      <c r="F15" s="2" t="s">
        <v>177</v>
      </c>
      <c r="G15" s="2"/>
      <c r="H15" s="7"/>
      <c r="I15" s="7"/>
      <c r="J15" s="2"/>
      <c r="K15" s="2"/>
      <c r="L15" s="2" t="s">
        <v>54</v>
      </c>
      <c r="M15" s="2"/>
      <c r="N15" s="2"/>
    </row>
    <row r="16" spans="1:14" x14ac:dyDescent="0.3">
      <c r="A16" s="2" t="s">
        <v>216</v>
      </c>
      <c r="B16" s="6">
        <v>46362</v>
      </c>
      <c r="C16" s="2">
        <v>1</v>
      </c>
      <c r="D16" s="2" t="s">
        <v>106</v>
      </c>
      <c r="E16" s="2" t="s">
        <v>217</v>
      </c>
      <c r="F16" s="2" t="s">
        <v>182</v>
      </c>
      <c r="G16" s="2" t="s">
        <v>183</v>
      </c>
      <c r="H16" s="7"/>
      <c r="I16" s="7"/>
      <c r="J16" s="2"/>
      <c r="K16" s="2"/>
      <c r="L16" s="2" t="s">
        <v>54</v>
      </c>
      <c r="M16" s="2"/>
      <c r="N16" s="2"/>
    </row>
    <row r="17" spans="1:14" x14ac:dyDescent="0.3">
      <c r="A17" s="2" t="s">
        <v>218</v>
      </c>
      <c r="B17" s="6">
        <v>46369</v>
      </c>
      <c r="C17" s="2">
        <v>1</v>
      </c>
      <c r="D17" s="2" t="s">
        <v>109</v>
      </c>
      <c r="E17" s="2" t="s">
        <v>219</v>
      </c>
      <c r="F17" s="2" t="s">
        <v>177</v>
      </c>
      <c r="G17" s="2"/>
      <c r="H17" s="7"/>
      <c r="I17" s="7"/>
      <c r="J17" s="2"/>
      <c r="K17" s="2"/>
      <c r="L17" s="2" t="s">
        <v>54</v>
      </c>
      <c r="M17" s="2"/>
      <c r="N17" s="2"/>
    </row>
    <row r="18" spans="1:14" x14ac:dyDescent="0.3">
      <c r="A18" s="2" t="s">
        <v>220</v>
      </c>
      <c r="B18" s="6">
        <v>46376</v>
      </c>
      <c r="C18" s="2">
        <v>1</v>
      </c>
      <c r="D18" s="2" t="s">
        <v>113</v>
      </c>
      <c r="E18" s="2" t="s">
        <v>221</v>
      </c>
      <c r="F18" s="2" t="s">
        <v>182</v>
      </c>
      <c r="G18" s="2" t="s">
        <v>183</v>
      </c>
      <c r="H18" s="7"/>
      <c r="I18" s="7"/>
      <c r="J18" s="2"/>
      <c r="K18" s="2"/>
      <c r="L18" s="2" t="s">
        <v>54</v>
      </c>
      <c r="M18" s="2"/>
      <c r="N18" s="2"/>
    </row>
    <row r="19" spans="1:14" x14ac:dyDescent="0.3">
      <c r="A19" s="2" t="s">
        <v>222</v>
      </c>
      <c r="B19" s="6">
        <v>46390</v>
      </c>
      <c r="C19" s="2">
        <v>1</v>
      </c>
      <c r="D19" s="2" t="s">
        <v>115</v>
      </c>
      <c r="E19" s="2" t="s">
        <v>223</v>
      </c>
      <c r="F19" s="2" t="s">
        <v>177</v>
      </c>
      <c r="G19" s="2"/>
      <c r="H19" s="7"/>
      <c r="I19" s="7"/>
      <c r="J19" s="2"/>
      <c r="K19" s="2"/>
      <c r="L19" s="2" t="s">
        <v>54</v>
      </c>
      <c r="M19" s="2"/>
      <c r="N19" s="2"/>
    </row>
    <row r="20" spans="1:14" x14ac:dyDescent="0.3">
      <c r="A20" s="2" t="s">
        <v>224</v>
      </c>
      <c r="B20" s="6">
        <v>46397</v>
      </c>
      <c r="C20" s="2">
        <v>1</v>
      </c>
      <c r="D20" s="2" t="s">
        <v>118</v>
      </c>
      <c r="E20" s="2" t="s">
        <v>225</v>
      </c>
      <c r="F20" s="2" t="s">
        <v>177</v>
      </c>
      <c r="G20" s="2"/>
      <c r="H20" s="7"/>
      <c r="I20" s="7"/>
      <c r="J20" s="2"/>
      <c r="K20" s="2"/>
      <c r="L20" s="2" t="s">
        <v>54</v>
      </c>
      <c r="M20" s="2"/>
      <c r="N20" s="2"/>
    </row>
    <row r="21" spans="1:14" x14ac:dyDescent="0.3">
      <c r="A21" s="2" t="s">
        <v>226</v>
      </c>
      <c r="B21" s="6">
        <v>46404</v>
      </c>
      <c r="C21" s="2">
        <v>1</v>
      </c>
      <c r="D21" s="2" t="s">
        <v>121</v>
      </c>
      <c r="E21" s="2" t="s">
        <v>176</v>
      </c>
      <c r="F21" s="2" t="s">
        <v>182</v>
      </c>
      <c r="G21" s="2" t="s">
        <v>183</v>
      </c>
      <c r="H21" s="7"/>
      <c r="I21" s="7"/>
      <c r="J21" s="2"/>
      <c r="K21" s="2"/>
      <c r="L21" s="2" t="s">
        <v>54</v>
      </c>
      <c r="M21" s="2"/>
      <c r="N21" s="2"/>
    </row>
    <row r="22" spans="1:14" x14ac:dyDescent="0.3">
      <c r="A22" s="2" t="s">
        <v>227</v>
      </c>
      <c r="B22" s="6">
        <v>46411</v>
      </c>
      <c r="C22" s="2">
        <v>1</v>
      </c>
      <c r="D22" s="2" t="s">
        <v>124</v>
      </c>
      <c r="E22" s="2" t="s">
        <v>209</v>
      </c>
      <c r="F22" s="2" t="s">
        <v>177</v>
      </c>
      <c r="G22" s="2"/>
      <c r="H22" s="7"/>
      <c r="I22" s="7"/>
      <c r="J22" s="2"/>
      <c r="K22" s="2"/>
      <c r="L22" s="2" t="s">
        <v>54</v>
      </c>
      <c r="M22" s="2"/>
      <c r="N22" s="2"/>
    </row>
    <row r="23" spans="1:14" x14ac:dyDescent="0.3">
      <c r="A23" s="2" t="s">
        <v>228</v>
      </c>
      <c r="B23" s="6">
        <v>46418</v>
      </c>
      <c r="C23" s="2">
        <v>1</v>
      </c>
      <c r="D23" s="2" t="s">
        <v>126</v>
      </c>
      <c r="E23" s="2" t="s">
        <v>190</v>
      </c>
      <c r="F23" s="2" t="s">
        <v>182</v>
      </c>
      <c r="G23" s="2" t="s">
        <v>183</v>
      </c>
      <c r="H23" s="7"/>
      <c r="I23" s="7"/>
      <c r="J23" s="2"/>
      <c r="K23" s="2"/>
      <c r="L23" s="2" t="s">
        <v>54</v>
      </c>
      <c r="M23" s="2"/>
      <c r="N23" s="2"/>
    </row>
    <row r="24" spans="1:14" x14ac:dyDescent="0.3">
      <c r="A24" s="2" t="s">
        <v>229</v>
      </c>
      <c r="B24" s="6">
        <v>46425</v>
      </c>
      <c r="C24" s="2">
        <v>1</v>
      </c>
      <c r="D24" s="2" t="s">
        <v>129</v>
      </c>
      <c r="E24" s="2" t="s">
        <v>211</v>
      </c>
      <c r="F24" s="2" t="s">
        <v>182</v>
      </c>
      <c r="G24" s="2" t="s">
        <v>183</v>
      </c>
      <c r="H24" s="7"/>
      <c r="I24" s="7"/>
      <c r="J24" s="2"/>
      <c r="K24" s="2"/>
      <c r="L24" s="2" t="s">
        <v>54</v>
      </c>
      <c r="M24" s="2"/>
      <c r="N24" s="2"/>
    </row>
    <row r="25" spans="1:14" x14ac:dyDescent="0.3">
      <c r="A25" s="2" t="s">
        <v>230</v>
      </c>
      <c r="B25" s="6">
        <v>46432</v>
      </c>
      <c r="C25" s="2">
        <v>1</v>
      </c>
      <c r="D25" s="2" t="s">
        <v>132</v>
      </c>
      <c r="E25" s="2" t="s">
        <v>213</v>
      </c>
      <c r="F25" s="2" t="s">
        <v>177</v>
      </c>
      <c r="G25" s="2"/>
      <c r="H25" s="7"/>
      <c r="I25" s="7"/>
      <c r="J25" s="2"/>
      <c r="K25" s="2"/>
      <c r="L25" s="2" t="s">
        <v>54</v>
      </c>
      <c r="M25" s="2"/>
      <c r="N25" s="2"/>
    </row>
    <row r="26" spans="1:14" x14ac:dyDescent="0.3">
      <c r="A26" s="2" t="s">
        <v>231</v>
      </c>
      <c r="B26" s="6">
        <v>46439</v>
      </c>
      <c r="C26" s="2">
        <v>1</v>
      </c>
      <c r="D26" s="2" t="s">
        <v>136</v>
      </c>
      <c r="E26" s="2" t="s">
        <v>193</v>
      </c>
      <c r="F26" s="2" t="s">
        <v>182</v>
      </c>
      <c r="G26" s="2" t="s">
        <v>183</v>
      </c>
      <c r="H26" s="7"/>
      <c r="I26" s="7"/>
      <c r="J26" s="2"/>
      <c r="K26" s="2"/>
      <c r="L26" s="2" t="s">
        <v>54</v>
      </c>
      <c r="M26" s="2"/>
      <c r="N26" s="2"/>
    </row>
    <row r="27" spans="1:14" x14ac:dyDescent="0.3">
      <c r="A27" s="2" t="s">
        <v>232</v>
      </c>
      <c r="B27" s="6">
        <v>46446</v>
      </c>
      <c r="C27" s="2">
        <v>1</v>
      </c>
      <c r="D27" s="2" t="s">
        <v>139</v>
      </c>
      <c r="E27" s="2" t="s">
        <v>181</v>
      </c>
      <c r="F27" s="2" t="s">
        <v>177</v>
      </c>
      <c r="G27" s="2"/>
      <c r="H27" s="7"/>
      <c r="I27" s="7"/>
      <c r="J27" s="2"/>
      <c r="K27" s="2"/>
      <c r="L27" s="2" t="s">
        <v>54</v>
      </c>
      <c r="M27" s="2"/>
      <c r="N27" s="2"/>
    </row>
    <row r="28" spans="1:14" x14ac:dyDescent="0.3">
      <c r="A28" s="2" t="s">
        <v>233</v>
      </c>
      <c r="B28" s="6">
        <v>46453</v>
      </c>
      <c r="C28" s="2">
        <v>1</v>
      </c>
      <c r="D28" s="2" t="s">
        <v>143</v>
      </c>
      <c r="E28" s="2" t="s">
        <v>205</v>
      </c>
      <c r="F28" s="2" t="s">
        <v>182</v>
      </c>
      <c r="G28" s="2" t="s">
        <v>183</v>
      </c>
      <c r="H28" s="7"/>
      <c r="I28" s="7"/>
      <c r="J28" s="2"/>
      <c r="K28" s="2"/>
      <c r="L28" s="2" t="s">
        <v>54</v>
      </c>
      <c r="M28" s="2"/>
      <c r="N28" s="2"/>
    </row>
    <row r="29" spans="1:14" x14ac:dyDescent="0.3">
      <c r="A29" s="2" t="s">
        <v>234</v>
      </c>
      <c r="B29" s="6">
        <v>46460</v>
      </c>
      <c r="C29" s="2">
        <v>1</v>
      </c>
      <c r="D29" s="2" t="s">
        <v>147</v>
      </c>
      <c r="E29" s="2" t="s">
        <v>215</v>
      </c>
      <c r="F29" s="2" t="s">
        <v>182</v>
      </c>
      <c r="G29" s="2" t="s">
        <v>183</v>
      </c>
      <c r="H29" s="7"/>
      <c r="I29" s="7"/>
      <c r="J29" s="2"/>
      <c r="K29" s="2"/>
      <c r="L29" s="2" t="s">
        <v>54</v>
      </c>
      <c r="M29" s="2"/>
      <c r="N29" s="2"/>
    </row>
    <row r="30" spans="1:14" x14ac:dyDescent="0.3">
      <c r="A30" s="2" t="s">
        <v>235</v>
      </c>
      <c r="B30" s="6">
        <v>46467</v>
      </c>
      <c r="C30" s="2">
        <v>1</v>
      </c>
      <c r="D30" s="2" t="s">
        <v>150</v>
      </c>
      <c r="E30" s="2" t="s">
        <v>186</v>
      </c>
      <c r="F30" s="2" t="s">
        <v>177</v>
      </c>
      <c r="G30" s="2"/>
      <c r="H30" s="7"/>
      <c r="I30" s="7"/>
      <c r="J30" s="2"/>
      <c r="K30" s="2"/>
      <c r="L30" s="2" t="s">
        <v>54</v>
      </c>
      <c r="M30" s="2"/>
      <c r="N30" s="2"/>
    </row>
    <row r="31" spans="1:14" x14ac:dyDescent="0.3">
      <c r="A31" s="2" t="s">
        <v>236</v>
      </c>
      <c r="B31" s="6">
        <v>46481</v>
      </c>
      <c r="C31" s="2">
        <v>1</v>
      </c>
      <c r="D31" s="2" t="s">
        <v>154</v>
      </c>
      <c r="E31" s="2" t="s">
        <v>199</v>
      </c>
      <c r="F31" s="2" t="s">
        <v>182</v>
      </c>
      <c r="G31" s="2" t="s">
        <v>183</v>
      </c>
      <c r="H31" s="7"/>
      <c r="I31" s="7"/>
      <c r="J31" s="2"/>
      <c r="K31" s="2"/>
      <c r="L31" s="2" t="s">
        <v>54</v>
      </c>
      <c r="M31" s="2"/>
      <c r="N31" s="2"/>
    </row>
    <row r="32" spans="1:14" x14ac:dyDescent="0.3">
      <c r="A32" s="2" t="s">
        <v>237</v>
      </c>
      <c r="B32" s="6">
        <v>46488</v>
      </c>
      <c r="C32" s="2">
        <v>1</v>
      </c>
      <c r="D32" s="2" t="s">
        <v>158</v>
      </c>
      <c r="E32" s="2" t="s">
        <v>196</v>
      </c>
      <c r="F32" s="2" t="s">
        <v>177</v>
      </c>
      <c r="G32" s="2"/>
      <c r="H32" s="7"/>
      <c r="I32" s="7"/>
      <c r="J32" s="2"/>
      <c r="K32" s="2"/>
      <c r="L32" s="2" t="s">
        <v>54</v>
      </c>
      <c r="M32" s="2"/>
      <c r="N32" s="2"/>
    </row>
    <row r="33" spans="1:14" x14ac:dyDescent="0.3">
      <c r="A33" s="2" t="s">
        <v>238</v>
      </c>
      <c r="B33" s="6">
        <v>46495</v>
      </c>
      <c r="C33" s="2">
        <v>1</v>
      </c>
      <c r="D33" s="2" t="s">
        <v>239</v>
      </c>
      <c r="E33" s="2" t="s">
        <v>223</v>
      </c>
      <c r="F33" s="2" t="s">
        <v>182</v>
      </c>
      <c r="G33" s="2" t="s">
        <v>183</v>
      </c>
      <c r="H33" s="7"/>
      <c r="I33" s="7"/>
      <c r="J33" s="2"/>
      <c r="K33" s="2"/>
      <c r="L33" s="2" t="s">
        <v>54</v>
      </c>
      <c r="M33" s="2"/>
      <c r="N33" s="2"/>
    </row>
    <row r="34" spans="1:14" x14ac:dyDescent="0.3">
      <c r="A34" s="2" t="s">
        <v>240</v>
      </c>
      <c r="B34" s="6">
        <v>46498</v>
      </c>
      <c r="C34" s="2">
        <v>1</v>
      </c>
      <c r="D34" s="2" t="s">
        <v>241</v>
      </c>
      <c r="E34" s="2" t="s">
        <v>217</v>
      </c>
      <c r="F34" s="2" t="s">
        <v>177</v>
      </c>
      <c r="G34" s="2"/>
      <c r="H34" s="7"/>
      <c r="I34" s="7"/>
      <c r="J34" s="2"/>
      <c r="K34" s="2"/>
      <c r="L34" s="2" t="s">
        <v>54</v>
      </c>
      <c r="M34" s="2"/>
      <c r="N34" s="2"/>
    </row>
    <row r="35" spans="1:14" x14ac:dyDescent="0.3">
      <c r="A35" s="2" t="s">
        <v>242</v>
      </c>
      <c r="B35" s="6">
        <v>46509</v>
      </c>
      <c r="C35" s="2">
        <v>1</v>
      </c>
      <c r="D35" s="2" t="s">
        <v>243</v>
      </c>
      <c r="E35" s="2" t="s">
        <v>225</v>
      </c>
      <c r="F35" s="2" t="s">
        <v>182</v>
      </c>
      <c r="G35" s="2" t="s">
        <v>183</v>
      </c>
      <c r="H35" s="7"/>
      <c r="I35" s="7"/>
      <c r="J35" s="2"/>
      <c r="K35" s="2"/>
      <c r="L35" s="2" t="s">
        <v>54</v>
      </c>
      <c r="M35" s="2"/>
      <c r="N35" s="2"/>
    </row>
    <row r="36" spans="1:14" x14ac:dyDescent="0.3">
      <c r="A36" s="2" t="s">
        <v>244</v>
      </c>
      <c r="B36" s="6">
        <v>46516</v>
      </c>
      <c r="C36" s="2">
        <v>1</v>
      </c>
      <c r="D36" s="2" t="s">
        <v>245</v>
      </c>
      <c r="E36" s="2" t="s">
        <v>207</v>
      </c>
      <c r="F36" s="2" t="s">
        <v>177</v>
      </c>
      <c r="G36" s="2"/>
      <c r="H36" s="7"/>
      <c r="I36" s="7"/>
      <c r="J36" s="2"/>
      <c r="K36" s="2"/>
      <c r="L36" s="2" t="s">
        <v>54</v>
      </c>
      <c r="M36" s="2"/>
      <c r="N36" s="2"/>
    </row>
    <row r="37" spans="1:14" x14ac:dyDescent="0.3">
      <c r="A37" s="2" t="s">
        <v>246</v>
      </c>
      <c r="B37" s="6">
        <v>46523</v>
      </c>
      <c r="C37" s="2">
        <v>1</v>
      </c>
      <c r="D37" s="2" t="s">
        <v>247</v>
      </c>
      <c r="E37" s="2" t="s">
        <v>221</v>
      </c>
      <c r="F37" s="2" t="s">
        <v>177</v>
      </c>
      <c r="G37" s="2"/>
      <c r="H37" s="7"/>
      <c r="I37" s="7"/>
      <c r="J37" s="2"/>
      <c r="K37" s="2"/>
      <c r="L37" s="2" t="s">
        <v>54</v>
      </c>
      <c r="M37" s="2"/>
      <c r="N37" s="2"/>
    </row>
    <row r="38" spans="1:14" x14ac:dyDescent="0.3">
      <c r="A38" s="2" t="s">
        <v>248</v>
      </c>
      <c r="B38" s="6">
        <v>46530</v>
      </c>
      <c r="C38" s="2">
        <v>1</v>
      </c>
      <c r="D38" s="2" t="s">
        <v>249</v>
      </c>
      <c r="E38" s="2" t="s">
        <v>219</v>
      </c>
      <c r="F38" s="2" t="s">
        <v>182</v>
      </c>
      <c r="G38" s="2" t="s">
        <v>183</v>
      </c>
      <c r="H38" s="7"/>
      <c r="I38" s="7"/>
      <c r="J38" s="2"/>
      <c r="K38" s="2"/>
      <c r="L38" s="2" t="s">
        <v>54</v>
      </c>
      <c r="M38" s="2"/>
      <c r="N38" s="2"/>
    </row>
    <row r="39" spans="1:14" x14ac:dyDescent="0.3">
      <c r="A39" s="2" t="s">
        <v>250</v>
      </c>
      <c r="B39" s="6">
        <v>46537</v>
      </c>
      <c r="C39" s="2">
        <v>1</v>
      </c>
      <c r="D39" s="2" t="s">
        <v>251</v>
      </c>
      <c r="E39" s="2" t="s">
        <v>202</v>
      </c>
      <c r="F39" s="2" t="s">
        <v>177</v>
      </c>
      <c r="G39" s="2"/>
      <c r="H39" s="7"/>
      <c r="I39" s="7"/>
      <c r="J39" s="2"/>
      <c r="K39" s="2"/>
      <c r="L39" s="2" t="s">
        <v>54</v>
      </c>
      <c r="M39" s="2"/>
      <c r="N39" s="2"/>
    </row>
    <row r="40" spans="1:14" x14ac:dyDescent="0.3">
      <c r="A40" s="2" t="s">
        <v>252</v>
      </c>
      <c r="B40" s="6">
        <v>46274</v>
      </c>
      <c r="C40" s="2">
        <v>2</v>
      </c>
      <c r="D40" s="2" t="s">
        <v>253</v>
      </c>
      <c r="E40" s="2" t="s">
        <v>254</v>
      </c>
      <c r="F40" s="2" t="s">
        <v>182</v>
      </c>
      <c r="G40" s="2" t="s">
        <v>183</v>
      </c>
      <c r="H40" s="7"/>
      <c r="I40" s="7"/>
      <c r="J40" s="2"/>
      <c r="K40" s="2"/>
      <c r="L40" s="2" t="s">
        <v>54</v>
      </c>
      <c r="M40" s="2"/>
      <c r="N40" s="2"/>
    </row>
    <row r="41" spans="1:14" x14ac:dyDescent="0.3">
      <c r="A41" s="2" t="s">
        <v>255</v>
      </c>
      <c r="B41" s="6">
        <v>46308</v>
      </c>
      <c r="C41" s="2">
        <v>2</v>
      </c>
      <c r="D41" s="2" t="s">
        <v>256</v>
      </c>
      <c r="E41" s="2" t="s">
        <v>257</v>
      </c>
      <c r="F41" s="2" t="s">
        <v>177</v>
      </c>
      <c r="G41" s="2"/>
      <c r="H41" s="7"/>
      <c r="I41" s="7"/>
      <c r="J41" s="2"/>
      <c r="K41" s="2"/>
      <c r="L41" s="2" t="s">
        <v>54</v>
      </c>
      <c r="M41" s="2"/>
      <c r="N41" s="2"/>
    </row>
    <row r="42" spans="1:14" x14ac:dyDescent="0.3">
      <c r="A42" s="2" t="s">
        <v>258</v>
      </c>
      <c r="B42" s="6">
        <v>46315</v>
      </c>
      <c r="C42" s="2">
        <v>2</v>
      </c>
      <c r="D42" s="2" t="s">
        <v>259</v>
      </c>
      <c r="E42" s="2" t="s">
        <v>260</v>
      </c>
      <c r="F42" s="2" t="s">
        <v>177</v>
      </c>
      <c r="G42" s="2"/>
      <c r="H42" s="7"/>
      <c r="I42" s="7"/>
      <c r="J42" s="2"/>
      <c r="K42" s="2"/>
      <c r="L42" s="2" t="s">
        <v>54</v>
      </c>
      <c r="M42" s="2"/>
      <c r="N42" s="2"/>
    </row>
    <row r="43" spans="1:14" x14ac:dyDescent="0.3">
      <c r="A43" s="2" t="s">
        <v>261</v>
      </c>
      <c r="B43" s="6">
        <v>46329</v>
      </c>
      <c r="C43" s="2">
        <v>2</v>
      </c>
      <c r="D43" s="2" t="s">
        <v>262</v>
      </c>
      <c r="E43" s="2" t="s">
        <v>263</v>
      </c>
      <c r="F43" s="2" t="s">
        <v>182</v>
      </c>
      <c r="G43" s="2" t="s">
        <v>183</v>
      </c>
      <c r="H43" s="7"/>
      <c r="I43" s="7"/>
      <c r="J43" s="2"/>
      <c r="K43" s="2"/>
      <c r="L43" s="2" t="s">
        <v>54</v>
      </c>
      <c r="M43" s="2"/>
      <c r="N43" s="2"/>
    </row>
    <row r="44" spans="1:14" x14ac:dyDescent="0.3">
      <c r="A44" s="2" t="s">
        <v>264</v>
      </c>
      <c r="B44" s="6">
        <v>46351</v>
      </c>
      <c r="C44" s="2">
        <v>2</v>
      </c>
      <c r="D44" s="2" t="s">
        <v>265</v>
      </c>
      <c r="E44" s="2" t="s">
        <v>266</v>
      </c>
      <c r="F44" s="2" t="s">
        <v>177</v>
      </c>
      <c r="G44" s="2"/>
      <c r="H44" s="7"/>
      <c r="I44" s="7"/>
      <c r="J44" s="2"/>
      <c r="K44" s="2"/>
      <c r="L44" s="2" t="s">
        <v>54</v>
      </c>
      <c r="M44" s="2"/>
      <c r="N44" s="2"/>
    </row>
    <row r="45" spans="1:14" x14ac:dyDescent="0.3">
      <c r="A45" s="2" t="s">
        <v>267</v>
      </c>
      <c r="B45" s="6">
        <v>46364</v>
      </c>
      <c r="C45" s="2">
        <v>2</v>
      </c>
      <c r="D45" s="2" t="s">
        <v>268</v>
      </c>
      <c r="E45" s="2" t="s">
        <v>269</v>
      </c>
      <c r="F45" s="2" t="s">
        <v>182</v>
      </c>
      <c r="G45" s="2" t="s">
        <v>183</v>
      </c>
      <c r="H45" s="7"/>
      <c r="I45" s="7"/>
      <c r="J45" s="2"/>
      <c r="K45" s="2"/>
      <c r="L45" s="2" t="s">
        <v>54</v>
      </c>
      <c r="M45" s="2"/>
      <c r="N45" s="2"/>
    </row>
    <row r="46" spans="1:14" x14ac:dyDescent="0.3">
      <c r="A46" s="2" t="s">
        <v>270</v>
      </c>
      <c r="B46" s="6">
        <v>46407</v>
      </c>
      <c r="C46" s="2">
        <v>2</v>
      </c>
      <c r="D46" s="2" t="s">
        <v>271</v>
      </c>
      <c r="E46" s="2" t="s">
        <v>272</v>
      </c>
      <c r="F46" s="2" t="s">
        <v>177</v>
      </c>
      <c r="G46" s="2"/>
      <c r="H46" s="7"/>
      <c r="I46" s="7"/>
      <c r="J46" s="2"/>
      <c r="K46" s="2"/>
      <c r="L46" s="2" t="s">
        <v>54</v>
      </c>
      <c r="M46" s="2"/>
      <c r="N46" s="2"/>
    </row>
    <row r="47" spans="1:14" x14ac:dyDescent="0.3">
      <c r="A47" s="2" t="s">
        <v>273</v>
      </c>
      <c r="B47" s="6">
        <v>46414</v>
      </c>
      <c r="C47" s="2">
        <v>2</v>
      </c>
      <c r="D47" s="2" t="s">
        <v>274</v>
      </c>
      <c r="E47" s="2" t="s">
        <v>275</v>
      </c>
      <c r="F47" s="2" t="s">
        <v>182</v>
      </c>
      <c r="G47" s="2" t="s">
        <v>183</v>
      </c>
      <c r="H47" s="7"/>
      <c r="I47" s="7"/>
      <c r="J47" s="2"/>
      <c r="K47" s="2"/>
      <c r="L47" s="2" t="s">
        <v>54</v>
      </c>
      <c r="M47" s="2"/>
      <c r="N47" s="2"/>
    </row>
    <row r="48" spans="1:14" x14ac:dyDescent="0.3">
      <c r="A48" s="2" t="s">
        <v>276</v>
      </c>
      <c r="B48" s="6"/>
      <c r="C48" s="2">
        <v>3</v>
      </c>
      <c r="D48" s="2" t="s">
        <v>277</v>
      </c>
      <c r="E48" s="2" t="s">
        <v>278</v>
      </c>
      <c r="F48" s="2"/>
      <c r="G48" s="2"/>
      <c r="H48" s="7"/>
      <c r="I48" s="7"/>
      <c r="J48" s="2"/>
      <c r="K48" s="2"/>
      <c r="L48" s="2" t="s">
        <v>54</v>
      </c>
      <c r="M48" s="2"/>
      <c r="N48" s="2"/>
    </row>
    <row r="49" spans="1:14" x14ac:dyDescent="0.3">
      <c r="A49" s="2" t="s">
        <v>279</v>
      </c>
      <c r="B49" s="6"/>
      <c r="C49" s="2">
        <v>3</v>
      </c>
      <c r="D49" s="2" t="s">
        <v>277</v>
      </c>
      <c r="E49" s="2" t="s">
        <v>278</v>
      </c>
      <c r="F49" s="2"/>
      <c r="G49" s="2"/>
      <c r="H49" s="7"/>
      <c r="I49" s="7"/>
      <c r="J49" s="2"/>
      <c r="K49" s="2"/>
      <c r="L49" s="2" t="s">
        <v>54</v>
      </c>
      <c r="M49" s="2"/>
      <c r="N49" s="2"/>
    </row>
    <row r="50" spans="1:14" x14ac:dyDescent="0.3">
      <c r="A50" s="2" t="s">
        <v>280</v>
      </c>
      <c r="B50" s="6">
        <v>46393</v>
      </c>
      <c r="C50" s="2">
        <v>4</v>
      </c>
      <c r="D50" s="2" t="s">
        <v>281</v>
      </c>
      <c r="E50" s="2" t="s">
        <v>278</v>
      </c>
      <c r="F50" s="2" t="s">
        <v>282</v>
      </c>
      <c r="G50" s="2"/>
      <c r="H50" s="7"/>
      <c r="I50" s="7"/>
      <c r="J50" s="2"/>
      <c r="K50" s="2"/>
      <c r="L50" s="2" t="s">
        <v>54</v>
      </c>
      <c r="M50" s="2"/>
      <c r="N50" s="2"/>
    </row>
    <row r="51" spans="1:14" x14ac:dyDescent="0.3">
      <c r="A51" s="2" t="s">
        <v>283</v>
      </c>
      <c r="B51" s="6"/>
      <c r="C51" s="2">
        <v>4</v>
      </c>
      <c r="D51" s="2" t="s">
        <v>284</v>
      </c>
      <c r="E51" s="2" t="s">
        <v>278</v>
      </c>
      <c r="F51" s="2" t="s">
        <v>282</v>
      </c>
      <c r="G51" s="2"/>
      <c r="H51" s="7"/>
      <c r="I51" s="7"/>
      <c r="J51" s="2"/>
      <c r="K51" s="2"/>
      <c r="L51" s="2" t="s">
        <v>54</v>
      </c>
      <c r="M51" s="2"/>
      <c r="N51" s="2"/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"/>
  <sheetViews>
    <sheetView zoomScaleNormal="100" workbookViewId="0">
      <pane ySplit="1" topLeftCell="A2" activePane="bottomLeft" state="frozen"/>
      <selection pane="bottomLeft" activeCell="E43" sqref="E43"/>
    </sheetView>
  </sheetViews>
  <sheetFormatPr baseColWidth="10" defaultColWidth="8.6640625" defaultRowHeight="14.4" x14ac:dyDescent="0.3"/>
  <cols>
    <col min="1" max="1" width="14" customWidth="1"/>
    <col min="2" max="2" width="30" customWidth="1"/>
    <col min="3" max="3" width="14" customWidth="1"/>
    <col min="4" max="4" width="8" customWidth="1"/>
    <col min="5" max="5" width="46" customWidth="1"/>
  </cols>
  <sheetData>
    <row r="1" spans="1:5" x14ac:dyDescent="0.3">
      <c r="A1" s="5" t="s">
        <v>285</v>
      </c>
      <c r="B1" s="5" t="s">
        <v>286</v>
      </c>
      <c r="C1" s="5" t="s">
        <v>287</v>
      </c>
      <c r="D1" s="5" t="s">
        <v>288</v>
      </c>
      <c r="E1" s="5" t="s">
        <v>289</v>
      </c>
    </row>
    <row r="2" spans="1:5" x14ac:dyDescent="0.3">
      <c r="A2" s="2" t="s">
        <v>290</v>
      </c>
      <c r="B2" s="2" t="s">
        <v>291</v>
      </c>
      <c r="C2" s="2" t="s">
        <v>291</v>
      </c>
      <c r="D2" s="2">
        <v>1</v>
      </c>
      <c r="E2" s="2" t="s">
        <v>292</v>
      </c>
    </row>
    <row r="3" spans="1:5" x14ac:dyDescent="0.3">
      <c r="A3" s="2" t="s">
        <v>293</v>
      </c>
      <c r="B3" s="2" t="s">
        <v>294</v>
      </c>
      <c r="C3" s="2" t="s">
        <v>291</v>
      </c>
      <c r="D3" s="2">
        <v>1</v>
      </c>
      <c r="E3" s="2" t="s">
        <v>295</v>
      </c>
    </row>
    <row r="4" spans="1:5" x14ac:dyDescent="0.3">
      <c r="A4" s="2" t="s">
        <v>296</v>
      </c>
      <c r="B4" s="2" t="s">
        <v>297</v>
      </c>
      <c r="C4" s="2" t="s">
        <v>291</v>
      </c>
      <c r="D4" s="2">
        <v>1</v>
      </c>
      <c r="E4" s="2" t="s">
        <v>298</v>
      </c>
    </row>
    <row r="5" spans="1:5" x14ac:dyDescent="0.3">
      <c r="A5" s="2" t="s">
        <v>299</v>
      </c>
      <c r="B5" s="2" t="s">
        <v>173</v>
      </c>
      <c r="C5" s="2" t="s">
        <v>173</v>
      </c>
      <c r="D5" s="2">
        <v>0</v>
      </c>
      <c r="E5" s="2" t="s">
        <v>300</v>
      </c>
    </row>
    <row r="6" spans="1:5" x14ac:dyDescent="0.3">
      <c r="A6" s="2" t="s">
        <v>301</v>
      </c>
      <c r="B6" s="2" t="s">
        <v>302</v>
      </c>
      <c r="C6" s="2" t="s">
        <v>303</v>
      </c>
      <c r="D6" s="2">
        <v>0</v>
      </c>
      <c r="E6" s="2" t="s">
        <v>304</v>
      </c>
    </row>
    <row r="7" spans="1:5" x14ac:dyDescent="0.3">
      <c r="A7" s="2" t="s">
        <v>305</v>
      </c>
      <c r="B7" s="2" t="s">
        <v>306</v>
      </c>
      <c r="C7" s="2" t="s">
        <v>303</v>
      </c>
      <c r="D7" s="2">
        <v>0</v>
      </c>
      <c r="E7" s="2" t="s">
        <v>307</v>
      </c>
    </row>
    <row r="8" spans="1:5" x14ac:dyDescent="0.3">
      <c r="A8" s="2" t="s">
        <v>308</v>
      </c>
      <c r="B8" s="2" t="s">
        <v>309</v>
      </c>
      <c r="C8" s="2" t="s">
        <v>303</v>
      </c>
      <c r="D8" s="2">
        <v>0</v>
      </c>
      <c r="E8" s="2" t="s">
        <v>310</v>
      </c>
    </row>
    <row r="9" spans="1:5" x14ac:dyDescent="0.3">
      <c r="A9" s="2" t="s">
        <v>311</v>
      </c>
      <c r="B9" s="2" t="s">
        <v>312</v>
      </c>
      <c r="C9" s="2" t="s">
        <v>313</v>
      </c>
      <c r="D9" s="2">
        <v>0</v>
      </c>
      <c r="E9" s="2" t="s">
        <v>314</v>
      </c>
    </row>
    <row r="10" spans="1:5" x14ac:dyDescent="0.3">
      <c r="A10" s="2" t="s">
        <v>315</v>
      </c>
      <c r="B10" s="2" t="s">
        <v>316</v>
      </c>
      <c r="C10" s="2" t="s">
        <v>291</v>
      </c>
      <c r="D10" s="2">
        <v>-1</v>
      </c>
      <c r="E10" s="2" t="s">
        <v>317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66"/>
  <sheetViews>
    <sheetView zoomScaleNormal="100" workbookViewId="0">
      <pane ySplit="1" topLeftCell="A15" activePane="bottomLeft" state="frozen"/>
      <selection pane="bottomLeft" activeCell="M61" sqref="M61"/>
    </sheetView>
  </sheetViews>
  <sheetFormatPr baseColWidth="10" defaultColWidth="8.6640625" defaultRowHeight="14.4" x14ac:dyDescent="0.3"/>
  <cols>
    <col min="1" max="1" width="16" customWidth="1"/>
    <col min="2" max="2" width="12" customWidth="1"/>
    <col min="3" max="3" width="14.44140625" bestFit="1" customWidth="1"/>
    <col min="4" max="4" width="11.109375" bestFit="1" customWidth="1"/>
    <col min="5" max="5" width="17" customWidth="1"/>
    <col min="6" max="6" width="13.21875" bestFit="1" customWidth="1"/>
    <col min="7" max="7" width="16.109375" bestFit="1" customWidth="1"/>
    <col min="8" max="8" width="15.44140625" bestFit="1" customWidth="1"/>
    <col min="9" max="9" width="19.5546875" bestFit="1" customWidth="1"/>
  </cols>
  <sheetData>
    <row r="1" spans="1:9" ht="26.4" x14ac:dyDescent="0.3">
      <c r="A1" s="5" t="s">
        <v>318</v>
      </c>
      <c r="B1" s="5" t="s">
        <v>162</v>
      </c>
      <c r="C1" s="5" t="s">
        <v>42</v>
      </c>
      <c r="D1" s="5" t="s">
        <v>45</v>
      </c>
      <c r="E1" s="5" t="s">
        <v>319</v>
      </c>
      <c r="F1" s="5" t="s">
        <v>320</v>
      </c>
      <c r="G1" s="5" t="s">
        <v>321</v>
      </c>
      <c r="H1" s="5" t="s">
        <v>322</v>
      </c>
      <c r="I1" s="5" t="s">
        <v>323</v>
      </c>
    </row>
    <row r="2" spans="1:9" x14ac:dyDescent="0.3">
      <c r="A2" s="2" t="s">
        <v>324</v>
      </c>
      <c r="B2" s="2" t="s">
        <v>174</v>
      </c>
      <c r="C2" s="2" t="s">
        <v>55</v>
      </c>
      <c r="D2" s="2">
        <v>1</v>
      </c>
      <c r="E2" s="2" t="s">
        <v>325</v>
      </c>
      <c r="F2" s="2" t="s">
        <v>60</v>
      </c>
      <c r="G2" s="2">
        <v>0</v>
      </c>
      <c r="H2" s="2">
        <v>90</v>
      </c>
      <c r="I2" s="2">
        <f t="shared" ref="I2:I65" si="0">H2-G2</f>
        <v>90</v>
      </c>
    </row>
    <row r="3" spans="1:9" x14ac:dyDescent="0.3">
      <c r="A3" s="2" t="s">
        <v>326</v>
      </c>
      <c r="B3" s="2" t="s">
        <v>174</v>
      </c>
      <c r="C3" s="2" t="s">
        <v>87</v>
      </c>
      <c r="D3" s="2">
        <v>18</v>
      </c>
      <c r="E3" s="2" t="s">
        <v>327</v>
      </c>
      <c r="F3" s="2" t="s">
        <v>60</v>
      </c>
      <c r="G3" s="2">
        <v>0</v>
      </c>
      <c r="H3" s="2">
        <v>90</v>
      </c>
      <c r="I3" s="2">
        <f t="shared" si="0"/>
        <v>90</v>
      </c>
    </row>
    <row r="4" spans="1:9" x14ac:dyDescent="0.3">
      <c r="A4" s="2" t="s">
        <v>328</v>
      </c>
      <c r="B4" s="2" t="s">
        <v>174</v>
      </c>
      <c r="C4" s="2" t="s">
        <v>80</v>
      </c>
      <c r="D4" s="2">
        <v>15</v>
      </c>
      <c r="E4" s="2" t="s">
        <v>329</v>
      </c>
      <c r="F4" s="2" t="s">
        <v>60</v>
      </c>
      <c r="G4" s="2">
        <v>0</v>
      </c>
      <c r="H4" s="2">
        <v>90</v>
      </c>
      <c r="I4" s="2">
        <f t="shared" si="0"/>
        <v>90</v>
      </c>
    </row>
    <row r="5" spans="1:9" x14ac:dyDescent="0.3">
      <c r="A5" s="2" t="s">
        <v>330</v>
      </c>
      <c r="B5" s="2" t="s">
        <v>174</v>
      </c>
      <c r="C5" s="2" t="s">
        <v>97</v>
      </c>
      <c r="D5" s="2">
        <v>12</v>
      </c>
      <c r="E5" s="2" t="s">
        <v>331</v>
      </c>
      <c r="F5" s="2" t="s">
        <v>60</v>
      </c>
      <c r="G5" s="2">
        <v>0</v>
      </c>
      <c r="H5" s="2">
        <v>90</v>
      </c>
      <c r="I5" s="2">
        <f t="shared" si="0"/>
        <v>90</v>
      </c>
    </row>
    <row r="6" spans="1:9" x14ac:dyDescent="0.3">
      <c r="A6" s="2" t="s">
        <v>332</v>
      </c>
      <c r="B6" s="2" t="s">
        <v>174</v>
      </c>
      <c r="C6" s="2" t="s">
        <v>90</v>
      </c>
      <c r="D6" s="2">
        <v>24</v>
      </c>
      <c r="E6" s="2" t="s">
        <v>333</v>
      </c>
      <c r="F6" s="2" t="s">
        <v>60</v>
      </c>
      <c r="G6" s="2">
        <v>0</v>
      </c>
      <c r="H6" s="2">
        <v>90</v>
      </c>
      <c r="I6" s="2">
        <f t="shared" si="0"/>
        <v>90</v>
      </c>
    </row>
    <row r="7" spans="1:9" x14ac:dyDescent="0.3">
      <c r="A7" s="2" t="s">
        <v>334</v>
      </c>
      <c r="B7" s="2" t="s">
        <v>174</v>
      </c>
      <c r="C7" s="2" t="s">
        <v>118</v>
      </c>
      <c r="D7" s="2">
        <v>7</v>
      </c>
      <c r="E7" s="2" t="s">
        <v>335</v>
      </c>
      <c r="F7" s="2" t="s">
        <v>60</v>
      </c>
      <c r="G7" s="2">
        <v>0</v>
      </c>
      <c r="H7" s="2">
        <v>90</v>
      </c>
      <c r="I7" s="2">
        <f t="shared" si="0"/>
        <v>90</v>
      </c>
    </row>
    <row r="8" spans="1:9" x14ac:dyDescent="0.3">
      <c r="A8" s="2" t="s">
        <v>336</v>
      </c>
      <c r="B8" s="2" t="s">
        <v>174</v>
      </c>
      <c r="C8" s="2" t="s">
        <v>113</v>
      </c>
      <c r="D8" s="2">
        <v>6</v>
      </c>
      <c r="E8" s="2" t="s">
        <v>337</v>
      </c>
      <c r="F8" s="2" t="s">
        <v>60</v>
      </c>
      <c r="G8" s="2">
        <v>0</v>
      </c>
      <c r="H8" s="2">
        <v>45</v>
      </c>
      <c r="I8" s="2">
        <f t="shared" si="0"/>
        <v>45</v>
      </c>
    </row>
    <row r="9" spans="1:9" x14ac:dyDescent="0.3">
      <c r="A9" s="2" t="s">
        <v>338</v>
      </c>
      <c r="B9" s="2" t="s">
        <v>174</v>
      </c>
      <c r="C9" s="2" t="s">
        <v>121</v>
      </c>
      <c r="D9" s="2">
        <v>22</v>
      </c>
      <c r="E9" s="2" t="s">
        <v>339</v>
      </c>
      <c r="F9" s="2" t="s">
        <v>60</v>
      </c>
      <c r="G9" s="2">
        <v>0</v>
      </c>
      <c r="H9" s="2">
        <v>80</v>
      </c>
      <c r="I9" s="2">
        <f t="shared" si="0"/>
        <v>80</v>
      </c>
    </row>
    <row r="10" spans="1:9" x14ac:dyDescent="0.3">
      <c r="A10" s="2" t="s">
        <v>340</v>
      </c>
      <c r="B10" s="2" t="s">
        <v>174</v>
      </c>
      <c r="C10" s="2" t="s">
        <v>136</v>
      </c>
      <c r="D10" s="2">
        <v>11</v>
      </c>
      <c r="E10" s="2" t="s">
        <v>341</v>
      </c>
      <c r="F10" s="2" t="s">
        <v>60</v>
      </c>
      <c r="G10" s="2">
        <v>0</v>
      </c>
      <c r="H10" s="2">
        <v>80</v>
      </c>
      <c r="I10" s="2">
        <f t="shared" si="0"/>
        <v>80</v>
      </c>
    </row>
    <row r="11" spans="1:9" x14ac:dyDescent="0.3">
      <c r="A11" s="2" t="s">
        <v>342</v>
      </c>
      <c r="B11" s="2" t="s">
        <v>174</v>
      </c>
      <c r="C11" s="2" t="s">
        <v>143</v>
      </c>
      <c r="D11" s="2">
        <v>14</v>
      </c>
      <c r="E11" s="2" t="s">
        <v>343</v>
      </c>
      <c r="F11" s="2" t="s">
        <v>60</v>
      </c>
      <c r="G11" s="2">
        <v>0</v>
      </c>
      <c r="H11" s="2">
        <v>65</v>
      </c>
      <c r="I11" s="2">
        <f t="shared" si="0"/>
        <v>65</v>
      </c>
    </row>
    <row r="12" spans="1:9" x14ac:dyDescent="0.3">
      <c r="A12" s="2" t="s">
        <v>344</v>
      </c>
      <c r="B12" s="2" t="s">
        <v>174</v>
      </c>
      <c r="C12" s="2" t="s">
        <v>132</v>
      </c>
      <c r="D12" s="2">
        <v>10</v>
      </c>
      <c r="E12" s="2" t="s">
        <v>345</v>
      </c>
      <c r="F12" s="2" t="s">
        <v>60</v>
      </c>
      <c r="G12" s="2">
        <v>0</v>
      </c>
      <c r="H12" s="2">
        <v>65</v>
      </c>
      <c r="I12" s="2">
        <f t="shared" si="0"/>
        <v>65</v>
      </c>
    </row>
    <row r="13" spans="1:9" x14ac:dyDescent="0.3">
      <c r="A13" s="2" t="s">
        <v>346</v>
      </c>
      <c r="B13" s="2" t="s">
        <v>174</v>
      </c>
      <c r="C13" s="2" t="s">
        <v>106</v>
      </c>
      <c r="D13" s="2">
        <v>8</v>
      </c>
      <c r="E13" s="2" t="s">
        <v>337</v>
      </c>
      <c r="F13" s="2" t="s">
        <v>54</v>
      </c>
      <c r="G13" s="2">
        <v>45</v>
      </c>
      <c r="H13" s="2">
        <v>90</v>
      </c>
      <c r="I13" s="2">
        <f t="shared" si="0"/>
        <v>45</v>
      </c>
    </row>
    <row r="14" spans="1:9" x14ac:dyDescent="0.3">
      <c r="A14" s="2" t="s">
        <v>347</v>
      </c>
      <c r="B14" s="2" t="s">
        <v>174</v>
      </c>
      <c r="C14" s="2" t="s">
        <v>139</v>
      </c>
      <c r="D14" s="2">
        <v>17</v>
      </c>
      <c r="E14" s="2" t="s">
        <v>345</v>
      </c>
      <c r="F14" s="2" t="s">
        <v>54</v>
      </c>
      <c r="G14" s="2">
        <v>65</v>
      </c>
      <c r="H14" s="2">
        <v>90</v>
      </c>
      <c r="I14" s="2">
        <f t="shared" si="0"/>
        <v>25</v>
      </c>
    </row>
    <row r="15" spans="1:9" x14ac:dyDescent="0.3">
      <c r="A15" s="2" t="s">
        <v>348</v>
      </c>
      <c r="B15" s="2" t="s">
        <v>174</v>
      </c>
      <c r="C15" s="2" t="s">
        <v>115</v>
      </c>
      <c r="D15" s="2">
        <v>20</v>
      </c>
      <c r="E15" s="2" t="s">
        <v>343</v>
      </c>
      <c r="F15" s="2" t="s">
        <v>54</v>
      </c>
      <c r="G15" s="2">
        <v>65</v>
      </c>
      <c r="H15" s="2">
        <v>90</v>
      </c>
      <c r="I15" s="2">
        <f t="shared" si="0"/>
        <v>25</v>
      </c>
    </row>
    <row r="16" spans="1:9" x14ac:dyDescent="0.3">
      <c r="A16" s="2" t="s">
        <v>349</v>
      </c>
      <c r="B16" s="2" t="s">
        <v>174</v>
      </c>
      <c r="C16" s="2" t="s">
        <v>72</v>
      </c>
      <c r="D16" s="2">
        <v>23</v>
      </c>
      <c r="E16" s="2" t="s">
        <v>339</v>
      </c>
      <c r="F16" s="2" t="s">
        <v>54</v>
      </c>
      <c r="G16" s="2">
        <v>80</v>
      </c>
      <c r="H16" s="2">
        <v>90</v>
      </c>
      <c r="I16" s="2">
        <f t="shared" si="0"/>
        <v>10</v>
      </c>
    </row>
    <row r="17" spans="1:9" x14ac:dyDescent="0.3">
      <c r="A17" s="2" t="s">
        <v>350</v>
      </c>
      <c r="B17" s="2" t="s">
        <v>174</v>
      </c>
      <c r="C17" s="2" t="s">
        <v>93</v>
      </c>
      <c r="D17" s="2">
        <v>2</v>
      </c>
      <c r="E17" s="2" t="s">
        <v>341</v>
      </c>
      <c r="F17" s="2" t="s">
        <v>54</v>
      </c>
      <c r="G17" s="2">
        <v>80</v>
      </c>
      <c r="H17" s="2">
        <v>90</v>
      </c>
      <c r="I17" s="2">
        <f t="shared" si="0"/>
        <v>10</v>
      </c>
    </row>
    <row r="18" spans="1:9" x14ac:dyDescent="0.3">
      <c r="A18" s="2" t="s">
        <v>351</v>
      </c>
      <c r="B18" s="2" t="s">
        <v>179</v>
      </c>
      <c r="C18" s="2" t="s">
        <v>55</v>
      </c>
      <c r="D18" s="2">
        <v>1</v>
      </c>
      <c r="E18" s="2" t="s">
        <v>325</v>
      </c>
      <c r="F18" s="2" t="s">
        <v>60</v>
      </c>
      <c r="G18" s="2">
        <v>0</v>
      </c>
      <c r="H18" s="2">
        <v>90</v>
      </c>
      <c r="I18" s="2">
        <f t="shared" si="0"/>
        <v>90</v>
      </c>
    </row>
    <row r="19" spans="1:9" x14ac:dyDescent="0.3">
      <c r="A19" s="2" t="s">
        <v>352</v>
      </c>
      <c r="B19" s="2" t="s">
        <v>179</v>
      </c>
      <c r="C19" s="2" t="s">
        <v>87</v>
      </c>
      <c r="D19" s="2">
        <v>18</v>
      </c>
      <c r="E19" s="2" t="s">
        <v>327</v>
      </c>
      <c r="F19" s="2" t="s">
        <v>60</v>
      </c>
      <c r="G19" s="2">
        <v>0</v>
      </c>
      <c r="H19" s="2">
        <v>90</v>
      </c>
      <c r="I19" s="2">
        <f t="shared" si="0"/>
        <v>90</v>
      </c>
    </row>
    <row r="20" spans="1:9" x14ac:dyDescent="0.3">
      <c r="A20" s="2" t="s">
        <v>353</v>
      </c>
      <c r="B20" s="2" t="s">
        <v>179</v>
      </c>
      <c r="C20" s="2" t="s">
        <v>77</v>
      </c>
      <c r="D20" s="2">
        <v>5</v>
      </c>
      <c r="E20" s="2" t="s">
        <v>329</v>
      </c>
      <c r="F20" s="2" t="s">
        <v>60</v>
      </c>
      <c r="G20" s="2">
        <v>0</v>
      </c>
      <c r="H20" s="2">
        <v>90</v>
      </c>
      <c r="I20" s="2">
        <f t="shared" si="0"/>
        <v>90</v>
      </c>
    </row>
    <row r="21" spans="1:9" x14ac:dyDescent="0.3">
      <c r="A21" s="2" t="s">
        <v>354</v>
      </c>
      <c r="B21" s="2" t="s">
        <v>179</v>
      </c>
      <c r="C21" s="2" t="s">
        <v>97</v>
      </c>
      <c r="D21" s="2">
        <v>12</v>
      </c>
      <c r="E21" s="2" t="s">
        <v>331</v>
      </c>
      <c r="F21" s="2" t="s">
        <v>60</v>
      </c>
      <c r="G21" s="2">
        <v>0</v>
      </c>
      <c r="H21" s="2">
        <v>90</v>
      </c>
      <c r="I21" s="2">
        <f t="shared" si="0"/>
        <v>90</v>
      </c>
    </row>
    <row r="22" spans="1:9" x14ac:dyDescent="0.3">
      <c r="A22" s="2" t="s">
        <v>355</v>
      </c>
      <c r="B22" s="2" t="s">
        <v>179</v>
      </c>
      <c r="C22" s="2" t="s">
        <v>90</v>
      </c>
      <c r="D22" s="2">
        <v>24</v>
      </c>
      <c r="E22" s="2" t="s">
        <v>333</v>
      </c>
      <c r="F22" s="2" t="s">
        <v>60</v>
      </c>
      <c r="G22" s="2">
        <v>0</v>
      </c>
      <c r="H22" s="2">
        <v>80</v>
      </c>
      <c r="I22" s="2">
        <f t="shared" si="0"/>
        <v>80</v>
      </c>
    </row>
    <row r="23" spans="1:9" x14ac:dyDescent="0.3">
      <c r="A23" s="2" t="s">
        <v>356</v>
      </c>
      <c r="B23" s="2" t="s">
        <v>179</v>
      </c>
      <c r="C23" s="2" t="s">
        <v>121</v>
      </c>
      <c r="D23" s="2">
        <v>22</v>
      </c>
      <c r="E23" s="2" t="s">
        <v>357</v>
      </c>
      <c r="F23" s="2" t="s">
        <v>60</v>
      </c>
      <c r="G23" s="2">
        <v>0</v>
      </c>
      <c r="H23" s="2">
        <v>63</v>
      </c>
      <c r="I23" s="2">
        <f t="shared" si="0"/>
        <v>63</v>
      </c>
    </row>
    <row r="24" spans="1:9" x14ac:dyDescent="0.3">
      <c r="A24" s="2" t="s">
        <v>358</v>
      </c>
      <c r="B24" s="2" t="s">
        <v>179</v>
      </c>
      <c r="C24" s="2" t="s">
        <v>106</v>
      </c>
      <c r="D24" s="2">
        <v>8</v>
      </c>
      <c r="E24" s="2" t="s">
        <v>337</v>
      </c>
      <c r="F24" s="2" t="s">
        <v>60</v>
      </c>
      <c r="G24" s="2">
        <v>0</v>
      </c>
      <c r="H24" s="2">
        <v>85</v>
      </c>
      <c r="I24" s="2">
        <f t="shared" si="0"/>
        <v>85</v>
      </c>
    </row>
    <row r="25" spans="1:9" x14ac:dyDescent="0.3">
      <c r="A25" s="2" t="s">
        <v>359</v>
      </c>
      <c r="B25" s="2" t="s">
        <v>179</v>
      </c>
      <c r="C25" s="2" t="s">
        <v>118</v>
      </c>
      <c r="D25" s="2">
        <v>7</v>
      </c>
      <c r="E25" s="2" t="s">
        <v>339</v>
      </c>
      <c r="F25" s="2" t="s">
        <v>60</v>
      </c>
      <c r="G25" s="2">
        <v>0</v>
      </c>
      <c r="H25" s="2">
        <v>90</v>
      </c>
      <c r="I25" s="2">
        <f t="shared" si="0"/>
        <v>90</v>
      </c>
    </row>
    <row r="26" spans="1:9" x14ac:dyDescent="0.3">
      <c r="A26" s="2" t="s">
        <v>360</v>
      </c>
      <c r="B26" s="2" t="s">
        <v>179</v>
      </c>
      <c r="C26" s="2" t="s">
        <v>136</v>
      </c>
      <c r="D26" s="2">
        <v>11</v>
      </c>
      <c r="E26" s="2" t="s">
        <v>341</v>
      </c>
      <c r="F26" s="2" t="s">
        <v>60</v>
      </c>
      <c r="G26" s="2">
        <v>0</v>
      </c>
      <c r="H26" s="2">
        <v>63</v>
      </c>
      <c r="I26" s="2">
        <f t="shared" si="0"/>
        <v>63</v>
      </c>
    </row>
    <row r="27" spans="1:9" x14ac:dyDescent="0.3">
      <c r="A27" s="2" t="s">
        <v>361</v>
      </c>
      <c r="B27" s="2" t="s">
        <v>179</v>
      </c>
      <c r="C27" s="2" t="s">
        <v>139</v>
      </c>
      <c r="D27" s="2">
        <v>17</v>
      </c>
      <c r="E27" s="2" t="s">
        <v>343</v>
      </c>
      <c r="F27" s="2" t="s">
        <v>60</v>
      </c>
      <c r="G27" s="2">
        <v>0</v>
      </c>
      <c r="H27" s="2">
        <v>80</v>
      </c>
      <c r="I27" s="2">
        <f t="shared" si="0"/>
        <v>80</v>
      </c>
    </row>
    <row r="28" spans="1:9" x14ac:dyDescent="0.3">
      <c r="A28" s="2" t="s">
        <v>362</v>
      </c>
      <c r="B28" s="2" t="s">
        <v>179</v>
      </c>
      <c r="C28" s="2" t="s">
        <v>132</v>
      </c>
      <c r="D28" s="2">
        <v>10</v>
      </c>
      <c r="E28" s="2" t="s">
        <v>345</v>
      </c>
      <c r="F28" s="2" t="s">
        <v>60</v>
      </c>
      <c r="G28" s="2">
        <v>0</v>
      </c>
      <c r="H28" s="2">
        <v>90</v>
      </c>
      <c r="I28" s="2">
        <f t="shared" si="0"/>
        <v>90</v>
      </c>
    </row>
    <row r="29" spans="1:9" x14ac:dyDescent="0.3">
      <c r="A29" s="2" t="s">
        <v>363</v>
      </c>
      <c r="B29" s="2" t="s">
        <v>179</v>
      </c>
      <c r="C29" s="2" t="s">
        <v>124</v>
      </c>
      <c r="D29" s="2">
        <v>16</v>
      </c>
      <c r="E29" s="2" t="s">
        <v>341</v>
      </c>
      <c r="F29" s="2" t="s">
        <v>54</v>
      </c>
      <c r="G29" s="2">
        <v>63</v>
      </c>
      <c r="H29" s="2">
        <v>90</v>
      </c>
      <c r="I29" s="2">
        <f t="shared" si="0"/>
        <v>27</v>
      </c>
    </row>
    <row r="30" spans="1:9" x14ac:dyDescent="0.3">
      <c r="A30" s="2" t="s">
        <v>364</v>
      </c>
      <c r="B30" s="2" t="s">
        <v>179</v>
      </c>
      <c r="C30" s="2" t="s">
        <v>115</v>
      </c>
      <c r="D30" s="2">
        <v>20</v>
      </c>
      <c r="E30" s="2" t="s">
        <v>357</v>
      </c>
      <c r="F30" s="2" t="s">
        <v>54</v>
      </c>
      <c r="G30" s="2">
        <v>63</v>
      </c>
      <c r="H30" s="2">
        <v>90</v>
      </c>
      <c r="I30" s="2">
        <f t="shared" si="0"/>
        <v>27</v>
      </c>
    </row>
    <row r="31" spans="1:9" x14ac:dyDescent="0.3">
      <c r="A31" s="2" t="s">
        <v>365</v>
      </c>
      <c r="B31" s="2" t="s">
        <v>179</v>
      </c>
      <c r="C31" s="2" t="s">
        <v>72</v>
      </c>
      <c r="D31" s="2">
        <v>23</v>
      </c>
      <c r="E31" s="2" t="s">
        <v>333</v>
      </c>
      <c r="F31" s="2" t="s">
        <v>54</v>
      </c>
      <c r="G31" s="2">
        <v>80</v>
      </c>
      <c r="H31" s="2">
        <v>90</v>
      </c>
      <c r="I31" s="2">
        <f t="shared" si="0"/>
        <v>10</v>
      </c>
    </row>
    <row r="32" spans="1:9" x14ac:dyDescent="0.3">
      <c r="A32" s="2" t="s">
        <v>366</v>
      </c>
      <c r="B32" s="2" t="s">
        <v>179</v>
      </c>
      <c r="C32" s="2" t="s">
        <v>143</v>
      </c>
      <c r="D32" s="2">
        <v>14</v>
      </c>
      <c r="E32" s="2" t="s">
        <v>343</v>
      </c>
      <c r="F32" s="2" t="s">
        <v>54</v>
      </c>
      <c r="G32" s="2">
        <v>80</v>
      </c>
      <c r="H32" s="2">
        <v>90</v>
      </c>
      <c r="I32" s="2">
        <f t="shared" si="0"/>
        <v>10</v>
      </c>
    </row>
    <row r="33" spans="1:9" x14ac:dyDescent="0.3">
      <c r="A33" s="2" t="s">
        <v>367</v>
      </c>
      <c r="B33" s="2" t="s">
        <v>179</v>
      </c>
      <c r="C33" s="2" t="s">
        <v>93</v>
      </c>
      <c r="D33" s="2">
        <v>2</v>
      </c>
      <c r="E33" s="2" t="s">
        <v>337</v>
      </c>
      <c r="F33" s="2" t="s">
        <v>54</v>
      </c>
      <c r="G33" s="2">
        <v>85</v>
      </c>
      <c r="H33" s="2">
        <v>90</v>
      </c>
      <c r="I33" s="2">
        <f t="shared" si="0"/>
        <v>5</v>
      </c>
    </row>
    <row r="34" spans="1:9" x14ac:dyDescent="0.3">
      <c r="A34" s="2" t="s">
        <v>368</v>
      </c>
      <c r="B34" s="2" t="s">
        <v>184</v>
      </c>
      <c r="C34" s="2" t="s">
        <v>55</v>
      </c>
      <c r="D34" s="2">
        <v>1</v>
      </c>
      <c r="E34" s="2" t="s">
        <v>325</v>
      </c>
      <c r="F34" s="2" t="s">
        <v>60</v>
      </c>
      <c r="G34" s="2">
        <v>0</v>
      </c>
      <c r="H34" s="2">
        <v>90</v>
      </c>
      <c r="I34" s="2">
        <f t="shared" si="0"/>
        <v>90</v>
      </c>
    </row>
    <row r="35" spans="1:9" x14ac:dyDescent="0.3">
      <c r="A35" s="2" t="s">
        <v>369</v>
      </c>
      <c r="B35" s="2" t="s">
        <v>184</v>
      </c>
      <c r="C35" s="2" t="s">
        <v>80</v>
      </c>
      <c r="D35" s="2">
        <v>15</v>
      </c>
      <c r="E35" s="2" t="s">
        <v>327</v>
      </c>
      <c r="F35" s="2" t="s">
        <v>60</v>
      </c>
      <c r="G35" s="2">
        <v>0</v>
      </c>
      <c r="H35" s="2">
        <v>90</v>
      </c>
      <c r="I35" s="2">
        <f t="shared" si="0"/>
        <v>90</v>
      </c>
    </row>
    <row r="36" spans="1:9" x14ac:dyDescent="0.3">
      <c r="A36" s="2" t="s">
        <v>370</v>
      </c>
      <c r="B36" s="2" t="s">
        <v>184</v>
      </c>
      <c r="C36" s="2" t="s">
        <v>77</v>
      </c>
      <c r="D36" s="2">
        <v>5</v>
      </c>
      <c r="E36" s="2" t="s">
        <v>329</v>
      </c>
      <c r="F36" s="2" t="s">
        <v>60</v>
      </c>
      <c r="G36" s="2">
        <v>0</v>
      </c>
      <c r="H36" s="2">
        <v>90</v>
      </c>
      <c r="I36" s="2">
        <f t="shared" si="0"/>
        <v>90</v>
      </c>
    </row>
    <row r="37" spans="1:9" x14ac:dyDescent="0.3">
      <c r="A37" s="2" t="s">
        <v>371</v>
      </c>
      <c r="B37" s="2" t="s">
        <v>184</v>
      </c>
      <c r="C37" s="2" t="s">
        <v>97</v>
      </c>
      <c r="D37" s="2">
        <v>12</v>
      </c>
      <c r="E37" s="2" t="s">
        <v>331</v>
      </c>
      <c r="F37" s="2" t="s">
        <v>60</v>
      </c>
      <c r="G37" s="2">
        <v>0</v>
      </c>
      <c r="H37" s="2">
        <v>90</v>
      </c>
      <c r="I37" s="2">
        <f t="shared" si="0"/>
        <v>90</v>
      </c>
    </row>
    <row r="38" spans="1:9" x14ac:dyDescent="0.3">
      <c r="A38" s="2" t="s">
        <v>372</v>
      </c>
      <c r="B38" s="2" t="s">
        <v>184</v>
      </c>
      <c r="C38" s="2" t="s">
        <v>72</v>
      </c>
      <c r="D38" s="2">
        <v>23</v>
      </c>
      <c r="E38" s="2" t="s">
        <v>333</v>
      </c>
      <c r="F38" s="2" t="s">
        <v>60</v>
      </c>
      <c r="G38" s="2">
        <v>0</v>
      </c>
      <c r="H38" s="2">
        <v>90</v>
      </c>
      <c r="I38" s="2">
        <f t="shared" si="0"/>
        <v>90</v>
      </c>
    </row>
    <row r="39" spans="1:9" x14ac:dyDescent="0.3">
      <c r="A39" s="2" t="s">
        <v>373</v>
      </c>
      <c r="B39" s="2" t="s">
        <v>184</v>
      </c>
      <c r="C39" s="2" t="s">
        <v>115</v>
      </c>
      <c r="D39" s="2">
        <v>20</v>
      </c>
      <c r="E39" s="2" t="s">
        <v>335</v>
      </c>
      <c r="F39" s="2" t="s">
        <v>60</v>
      </c>
      <c r="G39" s="2">
        <v>0</v>
      </c>
      <c r="H39" s="2">
        <v>64</v>
      </c>
      <c r="I39" s="2">
        <f t="shared" si="0"/>
        <v>64</v>
      </c>
    </row>
    <row r="40" spans="1:9" x14ac:dyDescent="0.3">
      <c r="A40" s="2" t="s">
        <v>374</v>
      </c>
      <c r="B40" s="2" t="s">
        <v>184</v>
      </c>
      <c r="C40" s="2" t="s">
        <v>106</v>
      </c>
      <c r="D40" s="2">
        <v>8</v>
      </c>
      <c r="E40" s="2" t="s">
        <v>337</v>
      </c>
      <c r="F40" s="2" t="s">
        <v>60</v>
      </c>
      <c r="G40" s="2">
        <v>0</v>
      </c>
      <c r="H40" s="2">
        <v>77</v>
      </c>
      <c r="I40" s="2">
        <f t="shared" si="0"/>
        <v>77</v>
      </c>
    </row>
    <row r="41" spans="1:9" x14ac:dyDescent="0.3">
      <c r="A41" s="2" t="s">
        <v>375</v>
      </c>
      <c r="B41" s="2" t="s">
        <v>184</v>
      </c>
      <c r="C41" s="2" t="s">
        <v>121</v>
      </c>
      <c r="D41" s="2">
        <v>22</v>
      </c>
      <c r="E41" s="2" t="s">
        <v>339</v>
      </c>
      <c r="F41" s="2" t="s">
        <v>60</v>
      </c>
      <c r="G41" s="2">
        <v>0</v>
      </c>
      <c r="H41" s="2">
        <v>64</v>
      </c>
      <c r="I41" s="2">
        <f t="shared" si="0"/>
        <v>64</v>
      </c>
    </row>
    <row r="42" spans="1:9" x14ac:dyDescent="0.3">
      <c r="A42" s="2" t="s">
        <v>376</v>
      </c>
      <c r="B42" s="2" t="s">
        <v>184</v>
      </c>
      <c r="C42" s="2" t="s">
        <v>136</v>
      </c>
      <c r="D42" s="2">
        <v>11</v>
      </c>
      <c r="E42" s="2" t="s">
        <v>341</v>
      </c>
      <c r="F42" s="2" t="s">
        <v>60</v>
      </c>
      <c r="G42" s="2">
        <v>0</v>
      </c>
      <c r="H42" s="2">
        <v>86</v>
      </c>
      <c r="I42" s="2">
        <f t="shared" si="0"/>
        <v>86</v>
      </c>
    </row>
    <row r="43" spans="1:9" x14ac:dyDescent="0.3">
      <c r="A43" s="2" t="s">
        <v>377</v>
      </c>
      <c r="B43" s="2" t="s">
        <v>184</v>
      </c>
      <c r="C43" s="2" t="s">
        <v>139</v>
      </c>
      <c r="D43" s="2">
        <v>17</v>
      </c>
      <c r="E43" s="2" t="s">
        <v>343</v>
      </c>
      <c r="F43" s="2" t="s">
        <v>60</v>
      </c>
      <c r="G43" s="2">
        <v>0</v>
      </c>
      <c r="H43" s="2">
        <v>77</v>
      </c>
      <c r="I43" s="2">
        <f t="shared" si="0"/>
        <v>77</v>
      </c>
    </row>
    <row r="44" spans="1:9" x14ac:dyDescent="0.3">
      <c r="A44" s="2" t="s">
        <v>378</v>
      </c>
      <c r="B44" s="2" t="s">
        <v>184</v>
      </c>
      <c r="C44" s="2" t="s">
        <v>132</v>
      </c>
      <c r="D44" s="2">
        <v>10</v>
      </c>
      <c r="E44" s="2" t="s">
        <v>345</v>
      </c>
      <c r="F44" s="2" t="s">
        <v>60</v>
      </c>
      <c r="G44" s="2">
        <v>0</v>
      </c>
      <c r="H44" s="2">
        <v>90</v>
      </c>
      <c r="I44" s="2">
        <f t="shared" si="0"/>
        <v>90</v>
      </c>
    </row>
    <row r="45" spans="1:9" x14ac:dyDescent="0.3">
      <c r="A45" s="2" t="s">
        <v>379</v>
      </c>
      <c r="B45" s="2" t="s">
        <v>184</v>
      </c>
      <c r="C45" s="2" t="s">
        <v>118</v>
      </c>
      <c r="D45" s="2">
        <v>7</v>
      </c>
      <c r="E45" s="2" t="s">
        <v>335</v>
      </c>
      <c r="F45" s="2" t="s">
        <v>54</v>
      </c>
      <c r="G45" s="2">
        <v>64</v>
      </c>
      <c r="H45" s="2">
        <v>90</v>
      </c>
      <c r="I45" s="2">
        <f t="shared" si="0"/>
        <v>26</v>
      </c>
    </row>
    <row r="46" spans="1:9" x14ac:dyDescent="0.3">
      <c r="A46" s="2" t="s">
        <v>380</v>
      </c>
      <c r="B46" s="2" t="s">
        <v>184</v>
      </c>
      <c r="C46" s="2" t="s">
        <v>124</v>
      </c>
      <c r="D46" s="2">
        <v>16</v>
      </c>
      <c r="E46" s="2" t="s">
        <v>339</v>
      </c>
      <c r="F46" s="2" t="s">
        <v>54</v>
      </c>
      <c r="G46" s="2">
        <v>64</v>
      </c>
      <c r="H46" s="2">
        <v>90</v>
      </c>
      <c r="I46" s="2">
        <f t="shared" si="0"/>
        <v>26</v>
      </c>
    </row>
    <row r="47" spans="1:9" x14ac:dyDescent="0.3">
      <c r="A47" s="2" t="s">
        <v>381</v>
      </c>
      <c r="B47" s="2" t="s">
        <v>184</v>
      </c>
      <c r="C47" s="2" t="s">
        <v>93</v>
      </c>
      <c r="D47" s="2">
        <v>2</v>
      </c>
      <c r="E47" s="2" t="s">
        <v>337</v>
      </c>
      <c r="F47" s="2" t="s">
        <v>54</v>
      </c>
      <c r="G47" s="2">
        <v>77</v>
      </c>
      <c r="H47" s="2">
        <v>90</v>
      </c>
      <c r="I47" s="2">
        <f t="shared" si="0"/>
        <v>13</v>
      </c>
    </row>
    <row r="48" spans="1:9" x14ac:dyDescent="0.3">
      <c r="A48" s="2" t="s">
        <v>382</v>
      </c>
      <c r="B48" s="2" t="s">
        <v>184</v>
      </c>
      <c r="C48" s="2" t="s">
        <v>143</v>
      </c>
      <c r="D48" s="2">
        <v>14</v>
      </c>
      <c r="E48" s="2" t="s">
        <v>343</v>
      </c>
      <c r="F48" s="2" t="s">
        <v>54</v>
      </c>
      <c r="G48" s="2">
        <v>77</v>
      </c>
      <c r="H48" s="2">
        <v>90</v>
      </c>
      <c r="I48" s="2">
        <f t="shared" si="0"/>
        <v>13</v>
      </c>
    </row>
    <row r="49" spans="1:9" x14ac:dyDescent="0.3">
      <c r="A49" s="2" t="s">
        <v>383</v>
      </c>
      <c r="B49" s="2" t="s">
        <v>184</v>
      </c>
      <c r="C49" s="2" t="s">
        <v>154</v>
      </c>
      <c r="D49" s="2">
        <v>29</v>
      </c>
      <c r="E49" s="2" t="s">
        <v>341</v>
      </c>
      <c r="F49" s="2" t="s">
        <v>54</v>
      </c>
      <c r="G49" s="2">
        <v>86</v>
      </c>
      <c r="H49" s="2">
        <v>90</v>
      </c>
      <c r="I49" s="2">
        <f t="shared" si="0"/>
        <v>4</v>
      </c>
    </row>
    <row r="50" spans="1:9" x14ac:dyDescent="0.3">
      <c r="A50" s="2" t="s">
        <v>443</v>
      </c>
      <c r="B50" s="2" t="s">
        <v>188</v>
      </c>
      <c r="C50" s="2" t="s">
        <v>55</v>
      </c>
      <c r="D50" s="2">
        <v>1</v>
      </c>
      <c r="E50" s="2" t="s">
        <v>325</v>
      </c>
      <c r="F50" s="2" t="s">
        <v>60</v>
      </c>
      <c r="G50" s="2">
        <v>0</v>
      </c>
      <c r="H50" s="2">
        <v>90</v>
      </c>
      <c r="I50" s="2">
        <f t="shared" si="0"/>
        <v>90</v>
      </c>
    </row>
    <row r="51" spans="1:9" x14ac:dyDescent="0.3">
      <c r="A51" s="2" t="s">
        <v>444</v>
      </c>
      <c r="B51" s="2" t="s">
        <v>188</v>
      </c>
      <c r="C51" s="2" t="s">
        <v>90</v>
      </c>
      <c r="D51" s="2">
        <v>24</v>
      </c>
      <c r="E51" s="2" t="s">
        <v>333</v>
      </c>
      <c r="F51" s="2" t="s">
        <v>60</v>
      </c>
      <c r="G51" s="2">
        <v>0</v>
      </c>
      <c r="H51" s="2">
        <v>29</v>
      </c>
      <c r="I51" s="2">
        <f t="shared" si="0"/>
        <v>29</v>
      </c>
    </row>
    <row r="52" spans="1:9" x14ac:dyDescent="0.3">
      <c r="A52" s="2" t="s">
        <v>445</v>
      </c>
      <c r="B52" s="2" t="s">
        <v>188</v>
      </c>
      <c r="C52" s="2" t="s">
        <v>77</v>
      </c>
      <c r="D52" s="2">
        <v>5</v>
      </c>
      <c r="E52" s="2" t="s">
        <v>329</v>
      </c>
      <c r="F52" s="2" t="s">
        <v>60</v>
      </c>
      <c r="G52" s="2">
        <v>0</v>
      </c>
      <c r="H52" s="2">
        <v>62</v>
      </c>
      <c r="I52" s="2">
        <f t="shared" si="0"/>
        <v>62</v>
      </c>
    </row>
    <row r="53" spans="1:9" x14ac:dyDescent="0.3">
      <c r="A53" s="2" t="s">
        <v>446</v>
      </c>
      <c r="B53" s="2" t="s">
        <v>188</v>
      </c>
      <c r="C53" s="2" t="s">
        <v>87</v>
      </c>
      <c r="D53" s="2">
        <v>18</v>
      </c>
      <c r="E53" s="2" t="s">
        <v>327</v>
      </c>
      <c r="F53" s="2" t="s">
        <v>60</v>
      </c>
      <c r="G53" s="2">
        <v>0</v>
      </c>
      <c r="H53" s="2">
        <v>90</v>
      </c>
      <c r="I53" s="2">
        <f t="shared" si="0"/>
        <v>90</v>
      </c>
    </row>
    <row r="54" spans="1:9" x14ac:dyDescent="0.3">
      <c r="A54" s="2" t="s">
        <v>447</v>
      </c>
      <c r="B54" s="2" t="s">
        <v>188</v>
      </c>
      <c r="C54" s="2" t="s">
        <v>97</v>
      </c>
      <c r="D54" s="2">
        <v>12</v>
      </c>
      <c r="E54" s="2" t="s">
        <v>331</v>
      </c>
      <c r="F54" s="2" t="s">
        <v>60</v>
      </c>
      <c r="G54" s="2">
        <v>0</v>
      </c>
      <c r="H54" s="2">
        <v>90</v>
      </c>
      <c r="I54" s="2">
        <f t="shared" si="0"/>
        <v>90</v>
      </c>
    </row>
    <row r="55" spans="1:9" x14ac:dyDescent="0.3">
      <c r="A55" s="2" t="s">
        <v>448</v>
      </c>
      <c r="B55" s="2" t="s">
        <v>188</v>
      </c>
      <c r="C55" s="2" t="s">
        <v>118</v>
      </c>
      <c r="D55" s="2">
        <v>7</v>
      </c>
      <c r="E55" s="2" t="s">
        <v>339</v>
      </c>
      <c r="F55" s="2" t="s">
        <v>60</v>
      </c>
      <c r="G55" s="2">
        <v>0</v>
      </c>
      <c r="H55" s="2">
        <v>75</v>
      </c>
      <c r="I55" s="2">
        <f t="shared" si="0"/>
        <v>75</v>
      </c>
    </row>
    <row r="56" spans="1:9" x14ac:dyDescent="0.3">
      <c r="A56" s="2" t="s">
        <v>449</v>
      </c>
      <c r="B56" s="2" t="s">
        <v>188</v>
      </c>
      <c r="C56" s="2" t="s">
        <v>124</v>
      </c>
      <c r="D56" s="2">
        <v>16</v>
      </c>
      <c r="E56" s="2" t="s">
        <v>357</v>
      </c>
      <c r="F56" s="2" t="s">
        <v>60</v>
      </c>
      <c r="G56" s="2">
        <v>0</v>
      </c>
      <c r="H56" s="2">
        <v>62</v>
      </c>
      <c r="I56" s="2">
        <f t="shared" si="0"/>
        <v>62</v>
      </c>
    </row>
    <row r="57" spans="1:9" x14ac:dyDescent="0.3">
      <c r="A57" s="2" t="s">
        <v>450</v>
      </c>
      <c r="B57" s="2" t="s">
        <v>188</v>
      </c>
      <c r="C57" s="2" t="s">
        <v>106</v>
      </c>
      <c r="D57" s="2">
        <v>8</v>
      </c>
      <c r="E57" s="2" t="s">
        <v>337</v>
      </c>
      <c r="F57" s="2" t="s">
        <v>60</v>
      </c>
      <c r="G57" s="2">
        <v>0</v>
      </c>
      <c r="H57" s="2">
        <v>81</v>
      </c>
      <c r="I57" s="2">
        <f t="shared" si="0"/>
        <v>81</v>
      </c>
    </row>
    <row r="58" spans="1:9" x14ac:dyDescent="0.3">
      <c r="A58" s="2" t="s">
        <v>451</v>
      </c>
      <c r="B58" s="2" t="s">
        <v>188</v>
      </c>
      <c r="C58" s="2" t="s">
        <v>132</v>
      </c>
      <c r="D58" s="2">
        <v>10</v>
      </c>
      <c r="E58" s="2" t="s">
        <v>345</v>
      </c>
      <c r="F58" s="2" t="s">
        <v>60</v>
      </c>
      <c r="G58" s="2">
        <v>0</v>
      </c>
      <c r="H58" s="2">
        <v>90</v>
      </c>
      <c r="I58" s="2">
        <f t="shared" si="0"/>
        <v>90</v>
      </c>
    </row>
    <row r="59" spans="1:9" x14ac:dyDescent="0.3">
      <c r="A59" s="2" t="s">
        <v>452</v>
      </c>
      <c r="B59" s="2" t="s">
        <v>188</v>
      </c>
      <c r="C59" s="2" t="s">
        <v>136</v>
      </c>
      <c r="D59" s="2">
        <v>11</v>
      </c>
      <c r="E59" s="2" t="s">
        <v>341</v>
      </c>
      <c r="F59" s="2" t="s">
        <v>60</v>
      </c>
      <c r="G59" s="2">
        <v>0</v>
      </c>
      <c r="H59" s="2">
        <v>90</v>
      </c>
      <c r="I59" s="2">
        <f t="shared" si="0"/>
        <v>90</v>
      </c>
    </row>
    <row r="60" spans="1:9" x14ac:dyDescent="0.3">
      <c r="A60" s="2" t="s">
        <v>453</v>
      </c>
      <c r="B60" s="2" t="s">
        <v>188</v>
      </c>
      <c r="C60" s="2" t="s">
        <v>139</v>
      </c>
      <c r="D60" s="2">
        <v>17</v>
      </c>
      <c r="E60" s="2" t="s">
        <v>343</v>
      </c>
      <c r="F60" s="2" t="s">
        <v>60</v>
      </c>
      <c r="G60" s="2">
        <v>0</v>
      </c>
      <c r="H60" s="2">
        <v>62</v>
      </c>
      <c r="I60" s="2">
        <f t="shared" si="0"/>
        <v>62</v>
      </c>
    </row>
    <row r="61" spans="1:9" x14ac:dyDescent="0.3">
      <c r="A61" s="2" t="s">
        <v>454</v>
      </c>
      <c r="B61" s="2" t="s">
        <v>188</v>
      </c>
      <c r="C61" s="2" t="s">
        <v>72</v>
      </c>
      <c r="D61" s="2">
        <v>23</v>
      </c>
      <c r="E61" s="2" t="s">
        <v>333</v>
      </c>
      <c r="F61" s="2" t="s">
        <v>54</v>
      </c>
      <c r="G61" s="2">
        <v>29</v>
      </c>
      <c r="H61" s="2">
        <v>90</v>
      </c>
      <c r="I61" s="2">
        <f t="shared" si="0"/>
        <v>61</v>
      </c>
    </row>
    <row r="62" spans="1:9" x14ac:dyDescent="0.3">
      <c r="A62" s="2" t="s">
        <v>455</v>
      </c>
      <c r="B62" s="2" t="s">
        <v>188</v>
      </c>
      <c r="C62" s="2" t="s">
        <v>80</v>
      </c>
      <c r="D62" s="2">
        <v>15</v>
      </c>
      <c r="E62" s="2" t="s">
        <v>329</v>
      </c>
      <c r="F62" s="2" t="s">
        <v>54</v>
      </c>
      <c r="G62" s="2">
        <v>62</v>
      </c>
      <c r="H62" s="2">
        <v>90</v>
      </c>
      <c r="I62" s="2">
        <f t="shared" si="0"/>
        <v>28</v>
      </c>
    </row>
    <row r="63" spans="1:9" x14ac:dyDescent="0.3">
      <c r="A63" s="2" t="s">
        <v>456</v>
      </c>
      <c r="B63" s="2" t="s">
        <v>188</v>
      </c>
      <c r="C63" s="2" t="s">
        <v>143</v>
      </c>
      <c r="D63" s="2">
        <v>14</v>
      </c>
      <c r="E63" s="2" t="s">
        <v>343</v>
      </c>
      <c r="F63" s="2" t="s">
        <v>54</v>
      </c>
      <c r="G63" s="2">
        <v>62</v>
      </c>
      <c r="H63" s="2">
        <v>90</v>
      </c>
      <c r="I63" s="2">
        <f t="shared" si="0"/>
        <v>28</v>
      </c>
    </row>
    <row r="64" spans="1:9" x14ac:dyDescent="0.3">
      <c r="A64" s="2" t="s">
        <v>457</v>
      </c>
      <c r="B64" s="2" t="s">
        <v>188</v>
      </c>
      <c r="C64" s="2" t="s">
        <v>121</v>
      </c>
      <c r="D64" s="2">
        <v>22</v>
      </c>
      <c r="E64" s="2" t="s">
        <v>357</v>
      </c>
      <c r="F64" s="2" t="s">
        <v>54</v>
      </c>
      <c r="G64" s="2">
        <v>62</v>
      </c>
      <c r="H64" s="2">
        <v>90</v>
      </c>
      <c r="I64" s="2">
        <f t="shared" si="0"/>
        <v>28</v>
      </c>
    </row>
    <row r="65" spans="1:9" x14ac:dyDescent="0.3">
      <c r="A65" s="2" t="s">
        <v>458</v>
      </c>
      <c r="B65" s="2" t="s">
        <v>188</v>
      </c>
      <c r="C65" s="2" t="s">
        <v>115</v>
      </c>
      <c r="D65" s="2">
        <v>20</v>
      </c>
      <c r="E65" s="2" t="s">
        <v>339</v>
      </c>
      <c r="F65" s="2" t="s">
        <v>54</v>
      </c>
      <c r="G65" s="2">
        <v>75</v>
      </c>
      <c r="H65" s="2">
        <v>90</v>
      </c>
      <c r="I65" s="2">
        <f t="shared" si="0"/>
        <v>15</v>
      </c>
    </row>
    <row r="66" spans="1:9" x14ac:dyDescent="0.3">
      <c r="A66" s="2" t="s">
        <v>459</v>
      </c>
      <c r="B66" s="2" t="s">
        <v>188</v>
      </c>
      <c r="C66" s="2" t="s">
        <v>147</v>
      </c>
      <c r="D66" s="2">
        <v>9</v>
      </c>
      <c r="E66" s="2" t="s">
        <v>341</v>
      </c>
      <c r="F66" s="2" t="s">
        <v>54</v>
      </c>
      <c r="G66" s="2">
        <v>81</v>
      </c>
      <c r="H66" s="2">
        <v>90</v>
      </c>
      <c r="I66" s="2">
        <f t="shared" ref="I66" si="1">H66-G66</f>
        <v>9</v>
      </c>
    </row>
  </sheetData>
  <phoneticPr fontId="6" type="noConversion"/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9"/>
  <sheetViews>
    <sheetView tabSelected="1" zoomScaleNormal="100" workbookViewId="0">
      <pane ySplit="1" topLeftCell="A2" activePane="bottomLeft" state="frozen"/>
      <selection pane="bottomLeft" activeCell="P40" sqref="P40"/>
    </sheetView>
  </sheetViews>
  <sheetFormatPr baseColWidth="10" defaultColWidth="8.6640625" defaultRowHeight="14.4" x14ac:dyDescent="0.3"/>
  <cols>
    <col min="1" max="1" width="13.33203125" bestFit="1" customWidth="1"/>
    <col min="2" max="2" width="13.5546875" bestFit="1" customWidth="1"/>
    <col min="3" max="3" width="17.109375" bestFit="1" customWidth="1"/>
    <col min="4" max="4" width="11.33203125" bestFit="1" customWidth="1"/>
    <col min="5" max="5" width="18.77734375" bestFit="1" customWidth="1"/>
    <col min="6" max="6" width="10.109375" bestFit="1" customWidth="1"/>
    <col min="7" max="7" width="14.44140625" bestFit="1" customWidth="1"/>
    <col min="8" max="8" width="12.21875" bestFit="1" customWidth="1"/>
    <col min="9" max="9" width="17.109375" bestFit="1" customWidth="1"/>
    <col min="10" max="10" width="10.21875" bestFit="1" customWidth="1"/>
    <col min="11" max="11" width="25.6640625" bestFit="1" customWidth="1"/>
    <col min="12" max="12" width="15.77734375" bestFit="1" customWidth="1"/>
  </cols>
  <sheetData>
    <row r="1" spans="1:12" x14ac:dyDescent="0.3">
      <c r="A1" s="5" t="s">
        <v>384</v>
      </c>
      <c r="B1" s="5" t="s">
        <v>162</v>
      </c>
      <c r="C1" s="5" t="s">
        <v>285</v>
      </c>
      <c r="D1" s="5" t="s">
        <v>385</v>
      </c>
      <c r="E1" s="5" t="s">
        <v>386</v>
      </c>
      <c r="F1" s="5" t="s">
        <v>387</v>
      </c>
      <c r="G1" s="5" t="s">
        <v>42</v>
      </c>
      <c r="H1" s="5" t="s">
        <v>388</v>
      </c>
      <c r="I1" s="5" t="s">
        <v>389</v>
      </c>
      <c r="J1" s="5" t="s">
        <v>390</v>
      </c>
      <c r="K1" s="5" t="s">
        <v>391</v>
      </c>
      <c r="L1" s="5" t="s">
        <v>392</v>
      </c>
    </row>
    <row r="2" spans="1:12" x14ac:dyDescent="0.3">
      <c r="A2" s="2" t="s">
        <v>393</v>
      </c>
      <c r="B2" s="2" t="s">
        <v>174</v>
      </c>
      <c r="C2" s="2" t="s">
        <v>293</v>
      </c>
      <c r="D2" s="2">
        <v>14</v>
      </c>
      <c r="E2" s="2">
        <v>0</v>
      </c>
      <c r="F2" s="2">
        <v>1</v>
      </c>
      <c r="G2" s="2" t="s">
        <v>136</v>
      </c>
      <c r="H2" s="2" t="s">
        <v>394</v>
      </c>
      <c r="I2" s="2"/>
      <c r="J2" s="2"/>
      <c r="K2" s="2" t="s">
        <v>395</v>
      </c>
      <c r="L2" s="2">
        <f t="shared" ref="L2:L39" si="0">D2+E2</f>
        <v>14</v>
      </c>
    </row>
    <row r="3" spans="1:12" x14ac:dyDescent="0.3">
      <c r="A3" s="2" t="s">
        <v>396</v>
      </c>
      <c r="B3" s="2" t="s">
        <v>174</v>
      </c>
      <c r="C3" s="2" t="s">
        <v>290</v>
      </c>
      <c r="D3" s="2">
        <v>45</v>
      </c>
      <c r="E3" s="2">
        <v>3</v>
      </c>
      <c r="F3" s="2">
        <v>1</v>
      </c>
      <c r="G3" s="2" t="s">
        <v>143</v>
      </c>
      <c r="H3" s="2" t="s">
        <v>394</v>
      </c>
      <c r="I3" s="2"/>
      <c r="J3" s="2"/>
      <c r="K3" s="2" t="s">
        <v>397</v>
      </c>
      <c r="L3" s="2">
        <f t="shared" si="0"/>
        <v>48</v>
      </c>
    </row>
    <row r="4" spans="1:12" x14ac:dyDescent="0.3">
      <c r="A4" s="2" t="s">
        <v>398</v>
      </c>
      <c r="B4" s="2" t="s">
        <v>174</v>
      </c>
      <c r="C4" s="2" t="s">
        <v>299</v>
      </c>
      <c r="D4" s="2">
        <v>45</v>
      </c>
      <c r="E4" s="2">
        <v>3</v>
      </c>
      <c r="F4" s="2">
        <v>1</v>
      </c>
      <c r="G4" s="2" t="s">
        <v>136</v>
      </c>
      <c r="H4" s="2" t="s">
        <v>394</v>
      </c>
      <c r="I4" s="2"/>
      <c r="J4" s="2" t="s">
        <v>396</v>
      </c>
      <c r="K4" s="2" t="s">
        <v>399</v>
      </c>
      <c r="L4" s="2">
        <f t="shared" si="0"/>
        <v>48</v>
      </c>
    </row>
    <row r="5" spans="1:12" x14ac:dyDescent="0.3">
      <c r="A5" s="2" t="s">
        <v>400</v>
      </c>
      <c r="B5" s="2" t="s">
        <v>174</v>
      </c>
      <c r="C5" s="2" t="s">
        <v>290</v>
      </c>
      <c r="D5" s="2">
        <v>67</v>
      </c>
      <c r="E5" s="2">
        <v>0</v>
      </c>
      <c r="F5" s="2">
        <v>2</v>
      </c>
      <c r="G5" s="2" t="s">
        <v>136</v>
      </c>
      <c r="H5" s="2" t="s">
        <v>394</v>
      </c>
      <c r="I5" s="2"/>
      <c r="J5" s="2"/>
      <c r="K5" s="2"/>
      <c r="L5" s="2">
        <f t="shared" si="0"/>
        <v>67</v>
      </c>
    </row>
    <row r="6" spans="1:12" x14ac:dyDescent="0.3">
      <c r="A6" s="2" t="s">
        <v>401</v>
      </c>
      <c r="B6" s="2" t="s">
        <v>174</v>
      </c>
      <c r="C6" s="2" t="s">
        <v>299</v>
      </c>
      <c r="D6" s="2">
        <v>67</v>
      </c>
      <c r="E6" s="2">
        <v>0</v>
      </c>
      <c r="F6" s="2">
        <v>2</v>
      </c>
      <c r="G6" s="2" t="s">
        <v>139</v>
      </c>
      <c r="H6" s="2" t="s">
        <v>394</v>
      </c>
      <c r="I6" s="2"/>
      <c r="J6" s="2" t="s">
        <v>400</v>
      </c>
      <c r="K6" s="2" t="s">
        <v>402</v>
      </c>
      <c r="L6" s="2">
        <f t="shared" si="0"/>
        <v>67</v>
      </c>
    </row>
    <row r="7" spans="1:12" x14ac:dyDescent="0.3">
      <c r="A7" s="2" t="s">
        <v>403</v>
      </c>
      <c r="B7" s="2" t="s">
        <v>174</v>
      </c>
      <c r="C7" s="2" t="s">
        <v>290</v>
      </c>
      <c r="D7" s="2">
        <v>71</v>
      </c>
      <c r="E7" s="2">
        <v>0</v>
      </c>
      <c r="F7" s="2">
        <v>2</v>
      </c>
      <c r="G7" s="2" t="s">
        <v>118</v>
      </c>
      <c r="H7" s="2" t="s">
        <v>394</v>
      </c>
      <c r="I7" s="2"/>
      <c r="J7" s="2"/>
      <c r="K7" s="2"/>
      <c r="L7" s="2">
        <f t="shared" si="0"/>
        <v>71</v>
      </c>
    </row>
    <row r="8" spans="1:12" x14ac:dyDescent="0.3">
      <c r="A8" s="2" t="s">
        <v>404</v>
      </c>
      <c r="B8" s="2" t="s">
        <v>174</v>
      </c>
      <c r="C8" s="2" t="s">
        <v>299</v>
      </c>
      <c r="D8" s="2">
        <v>71</v>
      </c>
      <c r="E8" s="2">
        <v>0</v>
      </c>
      <c r="F8" s="2">
        <v>2</v>
      </c>
      <c r="G8" s="2" t="s">
        <v>139</v>
      </c>
      <c r="H8" s="2" t="s">
        <v>394</v>
      </c>
      <c r="I8" s="2"/>
      <c r="J8" s="2" t="s">
        <v>403</v>
      </c>
      <c r="K8" s="2" t="s">
        <v>405</v>
      </c>
      <c r="L8" s="2">
        <f t="shared" si="0"/>
        <v>71</v>
      </c>
    </row>
    <row r="9" spans="1:12" x14ac:dyDescent="0.3">
      <c r="A9" s="2" t="s">
        <v>406</v>
      </c>
      <c r="B9" s="2" t="s">
        <v>174</v>
      </c>
      <c r="C9" s="2" t="s">
        <v>290</v>
      </c>
      <c r="D9" s="2">
        <v>79</v>
      </c>
      <c r="E9" s="2">
        <v>0</v>
      </c>
      <c r="F9" s="2">
        <v>2</v>
      </c>
      <c r="G9" s="2" t="s">
        <v>118</v>
      </c>
      <c r="H9" s="2" t="s">
        <v>394</v>
      </c>
      <c r="I9" s="2"/>
      <c r="J9" s="2"/>
      <c r="K9" s="2"/>
      <c r="L9" s="2">
        <f t="shared" si="0"/>
        <v>79</v>
      </c>
    </row>
    <row r="10" spans="1:12" x14ac:dyDescent="0.3">
      <c r="A10" s="2" t="s">
        <v>407</v>
      </c>
      <c r="B10" s="2" t="s">
        <v>174</v>
      </c>
      <c r="C10" s="2" t="s">
        <v>299</v>
      </c>
      <c r="D10" s="2">
        <v>79</v>
      </c>
      <c r="E10" s="2">
        <v>0</v>
      </c>
      <c r="F10" s="2">
        <v>2</v>
      </c>
      <c r="G10" s="2" t="s">
        <v>97</v>
      </c>
      <c r="H10" s="2" t="s">
        <v>394</v>
      </c>
      <c r="I10" s="2"/>
      <c r="J10" s="2" t="s">
        <v>406</v>
      </c>
      <c r="K10" s="2" t="s">
        <v>408</v>
      </c>
      <c r="L10" s="2">
        <f t="shared" si="0"/>
        <v>79</v>
      </c>
    </row>
    <row r="11" spans="1:12" x14ac:dyDescent="0.3">
      <c r="A11" s="2" t="s">
        <v>409</v>
      </c>
      <c r="B11" s="2" t="s">
        <v>179</v>
      </c>
      <c r="C11" s="2" t="s">
        <v>301</v>
      </c>
      <c r="D11" s="2">
        <v>27</v>
      </c>
      <c r="E11" s="2">
        <v>0</v>
      </c>
      <c r="F11" s="2">
        <v>1</v>
      </c>
      <c r="G11" s="2" t="s">
        <v>97</v>
      </c>
      <c r="H11" s="2" t="s">
        <v>394</v>
      </c>
      <c r="I11" s="2"/>
      <c r="J11" s="2"/>
      <c r="K11" s="2" t="s">
        <v>410</v>
      </c>
      <c r="L11" s="2">
        <f t="shared" si="0"/>
        <v>27</v>
      </c>
    </row>
    <row r="12" spans="1:12" x14ac:dyDescent="0.3">
      <c r="A12" s="2" t="s">
        <v>411</v>
      </c>
      <c r="B12" s="2" t="s">
        <v>179</v>
      </c>
      <c r="C12" s="2" t="s">
        <v>290</v>
      </c>
      <c r="D12" s="2">
        <v>37</v>
      </c>
      <c r="E12" s="2">
        <v>0</v>
      </c>
      <c r="F12" s="2">
        <v>1</v>
      </c>
      <c r="G12" s="2" t="s">
        <v>136</v>
      </c>
      <c r="H12" s="2" t="s">
        <v>394</v>
      </c>
      <c r="I12" s="2"/>
      <c r="J12" s="2"/>
      <c r="K12" s="2"/>
      <c r="L12" s="2">
        <f t="shared" si="0"/>
        <v>37</v>
      </c>
    </row>
    <row r="13" spans="1:12" x14ac:dyDescent="0.3">
      <c r="A13" s="2" t="s">
        <v>412</v>
      </c>
      <c r="B13" s="2" t="s">
        <v>179</v>
      </c>
      <c r="C13" s="2" t="s">
        <v>299</v>
      </c>
      <c r="D13" s="2">
        <v>37</v>
      </c>
      <c r="E13" s="2">
        <v>0</v>
      </c>
      <c r="F13" s="2">
        <v>1</v>
      </c>
      <c r="G13" s="2" t="s">
        <v>106</v>
      </c>
      <c r="H13" s="2" t="s">
        <v>394</v>
      </c>
      <c r="I13" s="2"/>
      <c r="J13" s="2" t="s">
        <v>411</v>
      </c>
      <c r="K13" s="2" t="s">
        <v>413</v>
      </c>
      <c r="L13" s="2">
        <f t="shared" si="0"/>
        <v>37</v>
      </c>
    </row>
    <row r="14" spans="1:12" x14ac:dyDescent="0.3">
      <c r="A14" s="2" t="s">
        <v>414</v>
      </c>
      <c r="B14" s="2" t="s">
        <v>179</v>
      </c>
      <c r="C14" s="2" t="s">
        <v>290</v>
      </c>
      <c r="D14" s="2">
        <v>82</v>
      </c>
      <c r="E14" s="2">
        <v>0</v>
      </c>
      <c r="F14" s="2">
        <v>2</v>
      </c>
      <c r="G14" s="2" t="s">
        <v>118</v>
      </c>
      <c r="H14" s="2" t="s">
        <v>394</v>
      </c>
      <c r="I14" s="2"/>
      <c r="J14" s="2"/>
      <c r="K14" s="2" t="s">
        <v>415</v>
      </c>
      <c r="L14" s="2">
        <f t="shared" si="0"/>
        <v>82</v>
      </c>
    </row>
    <row r="15" spans="1:12" x14ac:dyDescent="0.3">
      <c r="A15" s="2" t="s">
        <v>416</v>
      </c>
      <c r="B15" s="2" t="s">
        <v>184</v>
      </c>
      <c r="C15" s="2" t="s">
        <v>315</v>
      </c>
      <c r="D15" s="2">
        <v>12</v>
      </c>
      <c r="E15" s="2">
        <v>0</v>
      </c>
      <c r="F15" s="2">
        <v>1</v>
      </c>
      <c r="G15" s="2" t="s">
        <v>50</v>
      </c>
      <c r="H15" s="2" t="s">
        <v>52</v>
      </c>
      <c r="I15" s="2" t="s">
        <v>417</v>
      </c>
      <c r="J15" s="2"/>
      <c r="K15" s="2" t="s">
        <v>418</v>
      </c>
      <c r="L15" s="2">
        <f t="shared" si="0"/>
        <v>12</v>
      </c>
    </row>
    <row r="16" spans="1:12" x14ac:dyDescent="0.3">
      <c r="A16" s="2" t="s">
        <v>419</v>
      </c>
      <c r="B16" s="2" t="s">
        <v>184</v>
      </c>
      <c r="C16" s="2" t="s">
        <v>290</v>
      </c>
      <c r="D16" s="2">
        <v>19</v>
      </c>
      <c r="E16" s="2">
        <v>0</v>
      </c>
      <c r="F16" s="2">
        <v>1</v>
      </c>
      <c r="G16" s="2" t="s">
        <v>136</v>
      </c>
      <c r="H16" s="2" t="s">
        <v>394</v>
      </c>
      <c r="I16" s="2"/>
      <c r="J16" s="2"/>
      <c r="K16" s="2"/>
      <c r="L16" s="2">
        <f t="shared" si="0"/>
        <v>19</v>
      </c>
    </row>
    <row r="17" spans="1:12" x14ac:dyDescent="0.3">
      <c r="A17" s="2" t="s">
        <v>420</v>
      </c>
      <c r="B17" s="2" t="s">
        <v>184</v>
      </c>
      <c r="C17" s="2" t="s">
        <v>299</v>
      </c>
      <c r="D17" s="2">
        <v>19</v>
      </c>
      <c r="E17" s="2">
        <v>0</v>
      </c>
      <c r="F17" s="2">
        <v>1</v>
      </c>
      <c r="G17" s="2" t="s">
        <v>97</v>
      </c>
      <c r="H17" s="2" t="s">
        <v>394</v>
      </c>
      <c r="I17" s="2"/>
      <c r="J17" s="2" t="s">
        <v>419</v>
      </c>
      <c r="K17" s="2" t="s">
        <v>421</v>
      </c>
      <c r="L17" s="2">
        <f t="shared" si="0"/>
        <v>19</v>
      </c>
    </row>
    <row r="18" spans="1:12" x14ac:dyDescent="0.3">
      <c r="A18" s="2" t="s">
        <v>422</v>
      </c>
      <c r="B18" s="2" t="s">
        <v>184</v>
      </c>
      <c r="C18" s="2" t="s">
        <v>290</v>
      </c>
      <c r="D18" s="2">
        <v>21</v>
      </c>
      <c r="E18" s="2">
        <v>0</v>
      </c>
      <c r="F18" s="2">
        <v>1</v>
      </c>
      <c r="G18" s="2" t="s">
        <v>132</v>
      </c>
      <c r="H18" s="2" t="s">
        <v>394</v>
      </c>
      <c r="I18" s="2"/>
      <c r="J18" s="2"/>
      <c r="K18" s="2"/>
      <c r="L18" s="2">
        <f t="shared" si="0"/>
        <v>21</v>
      </c>
    </row>
    <row r="19" spans="1:12" x14ac:dyDescent="0.3">
      <c r="A19" s="2" t="s">
        <v>423</v>
      </c>
      <c r="B19" s="2" t="s">
        <v>184</v>
      </c>
      <c r="C19" s="2" t="s">
        <v>299</v>
      </c>
      <c r="D19" s="2">
        <v>21</v>
      </c>
      <c r="E19" s="2">
        <v>0</v>
      </c>
      <c r="F19" s="2">
        <v>1</v>
      </c>
      <c r="G19" s="2" t="s">
        <v>121</v>
      </c>
      <c r="H19" s="2" t="s">
        <v>394</v>
      </c>
      <c r="I19" s="2"/>
      <c r="J19" s="2" t="s">
        <v>422</v>
      </c>
      <c r="K19" s="2" t="s">
        <v>424</v>
      </c>
      <c r="L19" s="2">
        <f t="shared" si="0"/>
        <v>21</v>
      </c>
    </row>
    <row r="20" spans="1:12" x14ac:dyDescent="0.3">
      <c r="A20" s="2" t="s">
        <v>425</v>
      </c>
      <c r="B20" s="2" t="s">
        <v>184</v>
      </c>
      <c r="C20" s="2" t="s">
        <v>296</v>
      </c>
      <c r="D20" s="2">
        <v>51</v>
      </c>
      <c r="E20" s="2">
        <v>0</v>
      </c>
      <c r="F20" s="2">
        <v>2</v>
      </c>
      <c r="G20" s="2" t="s">
        <v>50</v>
      </c>
      <c r="H20" s="2" t="s">
        <v>394</v>
      </c>
      <c r="I20" s="2" t="s">
        <v>426</v>
      </c>
      <c r="J20" s="2"/>
      <c r="K20" s="2" t="s">
        <v>427</v>
      </c>
      <c r="L20" s="2">
        <f t="shared" si="0"/>
        <v>51</v>
      </c>
    </row>
    <row r="21" spans="1:12" x14ac:dyDescent="0.3">
      <c r="A21" s="2" t="s">
        <v>428</v>
      </c>
      <c r="B21" s="2" t="s">
        <v>184</v>
      </c>
      <c r="C21" s="2" t="s">
        <v>315</v>
      </c>
      <c r="D21" s="2">
        <v>59</v>
      </c>
      <c r="E21" s="2">
        <v>0</v>
      </c>
      <c r="F21" s="2">
        <v>2</v>
      </c>
      <c r="G21" s="2" t="s">
        <v>50</v>
      </c>
      <c r="H21" s="2" t="s">
        <v>52</v>
      </c>
      <c r="I21" s="2" t="s">
        <v>417</v>
      </c>
      <c r="J21" s="2"/>
      <c r="K21" s="2" t="s">
        <v>429</v>
      </c>
      <c r="L21" s="2">
        <f t="shared" si="0"/>
        <v>59</v>
      </c>
    </row>
    <row r="22" spans="1:12" x14ac:dyDescent="0.3">
      <c r="A22" s="2" t="s">
        <v>430</v>
      </c>
      <c r="B22" s="2" t="s">
        <v>184</v>
      </c>
      <c r="C22" s="2" t="s">
        <v>290</v>
      </c>
      <c r="D22" s="2">
        <v>71</v>
      </c>
      <c r="E22" s="2">
        <v>0</v>
      </c>
      <c r="F22" s="2">
        <v>2</v>
      </c>
      <c r="G22" s="2" t="s">
        <v>136</v>
      </c>
      <c r="H22" s="2" t="s">
        <v>394</v>
      </c>
      <c r="I22" s="2"/>
      <c r="J22" s="2"/>
      <c r="K22" s="2" t="s">
        <v>397</v>
      </c>
      <c r="L22" s="2">
        <f t="shared" si="0"/>
        <v>71</v>
      </c>
    </row>
    <row r="23" spans="1:12" x14ac:dyDescent="0.3">
      <c r="A23" s="2" t="s">
        <v>431</v>
      </c>
      <c r="B23" s="2" t="s">
        <v>184</v>
      </c>
      <c r="C23" s="2" t="s">
        <v>299</v>
      </c>
      <c r="D23" s="2">
        <v>71</v>
      </c>
      <c r="E23" s="2">
        <v>0</v>
      </c>
      <c r="F23" s="2">
        <v>2</v>
      </c>
      <c r="G23" s="2" t="s">
        <v>139</v>
      </c>
      <c r="H23" s="2" t="s">
        <v>394</v>
      </c>
      <c r="I23" s="2"/>
      <c r="J23" s="2" t="s">
        <v>430</v>
      </c>
      <c r="K23" s="2" t="s">
        <v>432</v>
      </c>
      <c r="L23" s="2">
        <f t="shared" si="0"/>
        <v>71</v>
      </c>
    </row>
    <row r="24" spans="1:12" x14ac:dyDescent="0.3">
      <c r="A24" s="2" t="s">
        <v>433</v>
      </c>
      <c r="B24" s="2" t="s">
        <v>184</v>
      </c>
      <c r="C24" s="2" t="s">
        <v>290</v>
      </c>
      <c r="D24" s="2">
        <v>90</v>
      </c>
      <c r="E24" s="2">
        <v>0</v>
      </c>
      <c r="F24" s="2">
        <v>2</v>
      </c>
      <c r="G24" s="2" t="s">
        <v>132</v>
      </c>
      <c r="H24" s="2" t="s">
        <v>394</v>
      </c>
      <c r="I24" s="2"/>
      <c r="J24" s="2"/>
      <c r="K24" s="2"/>
      <c r="L24" s="2">
        <f t="shared" si="0"/>
        <v>90</v>
      </c>
    </row>
    <row r="25" spans="1:12" x14ac:dyDescent="0.3">
      <c r="A25" s="2" t="s">
        <v>434</v>
      </c>
      <c r="B25" s="2" t="s">
        <v>184</v>
      </c>
      <c r="C25" s="2" t="s">
        <v>299</v>
      </c>
      <c r="D25" s="2">
        <v>90</v>
      </c>
      <c r="E25" s="2">
        <v>0</v>
      </c>
      <c r="F25" s="2">
        <v>2</v>
      </c>
      <c r="G25" s="2" t="s">
        <v>143</v>
      </c>
      <c r="H25" s="2" t="s">
        <v>394</v>
      </c>
      <c r="I25" s="2"/>
      <c r="J25" s="2" t="s">
        <v>433</v>
      </c>
      <c r="K25" s="2" t="s">
        <v>435</v>
      </c>
      <c r="L25" s="2">
        <f t="shared" si="0"/>
        <v>90</v>
      </c>
    </row>
    <row r="26" spans="1:12" x14ac:dyDescent="0.3">
      <c r="A26" s="2" t="s">
        <v>436</v>
      </c>
      <c r="B26" s="2" t="s">
        <v>184</v>
      </c>
      <c r="C26" s="2" t="s">
        <v>301</v>
      </c>
      <c r="D26" s="2">
        <v>90</v>
      </c>
      <c r="E26" s="2">
        <v>0</v>
      </c>
      <c r="F26" s="2">
        <v>2</v>
      </c>
      <c r="G26" s="2" t="s">
        <v>50</v>
      </c>
      <c r="H26" s="2" t="s">
        <v>52</v>
      </c>
      <c r="I26" s="2" t="s">
        <v>437</v>
      </c>
      <c r="J26" s="2"/>
      <c r="K26" s="2" t="s">
        <v>410</v>
      </c>
      <c r="L26" s="2">
        <f t="shared" si="0"/>
        <v>90</v>
      </c>
    </row>
    <row r="27" spans="1:12" x14ac:dyDescent="0.3">
      <c r="A27" s="2" t="s">
        <v>460</v>
      </c>
      <c r="B27" s="2" t="s">
        <v>188</v>
      </c>
      <c r="C27" s="2" t="s">
        <v>290</v>
      </c>
      <c r="D27" s="2">
        <v>6</v>
      </c>
      <c r="E27" s="2">
        <v>0</v>
      </c>
      <c r="F27" s="2">
        <v>1</v>
      </c>
      <c r="G27" s="2" t="s">
        <v>132</v>
      </c>
      <c r="H27" s="2" t="s">
        <v>394</v>
      </c>
      <c r="I27" s="2"/>
      <c r="J27" s="2"/>
      <c r="K27" s="2" t="s">
        <v>462</v>
      </c>
      <c r="L27" s="2">
        <f t="shared" si="0"/>
        <v>6</v>
      </c>
    </row>
    <row r="28" spans="1:12" x14ac:dyDescent="0.3">
      <c r="A28" s="2" t="s">
        <v>463</v>
      </c>
      <c r="B28" s="2" t="s">
        <v>188</v>
      </c>
      <c r="C28" s="2" t="s">
        <v>299</v>
      </c>
      <c r="D28" s="2">
        <v>6</v>
      </c>
      <c r="E28" s="2">
        <v>0</v>
      </c>
      <c r="F28" s="2">
        <v>1</v>
      </c>
      <c r="G28" s="2" t="s">
        <v>118</v>
      </c>
      <c r="H28" s="2" t="s">
        <v>394</v>
      </c>
      <c r="I28" s="2"/>
      <c r="J28" s="2" t="s">
        <v>460</v>
      </c>
      <c r="K28" s="2" t="s">
        <v>461</v>
      </c>
      <c r="L28" s="2">
        <f t="shared" si="0"/>
        <v>6</v>
      </c>
    </row>
    <row r="29" spans="1:12" x14ac:dyDescent="0.3">
      <c r="A29" s="2" t="s">
        <v>464</v>
      </c>
      <c r="B29" s="2" t="s">
        <v>188</v>
      </c>
      <c r="C29" s="2" t="s">
        <v>290</v>
      </c>
      <c r="D29" s="2">
        <v>22</v>
      </c>
      <c r="E29" s="2">
        <v>0</v>
      </c>
      <c r="F29" s="2">
        <v>1</v>
      </c>
      <c r="G29" s="2" t="s">
        <v>118</v>
      </c>
      <c r="H29" s="2" t="s">
        <v>394</v>
      </c>
      <c r="I29" s="2"/>
      <c r="J29" s="2"/>
      <c r="K29" s="2"/>
      <c r="L29" s="2">
        <f t="shared" si="0"/>
        <v>22</v>
      </c>
    </row>
    <row r="30" spans="1:12" x14ac:dyDescent="0.3">
      <c r="A30" s="2" t="s">
        <v>465</v>
      </c>
      <c r="B30" s="2" t="s">
        <v>188</v>
      </c>
      <c r="C30" s="2" t="s">
        <v>299</v>
      </c>
      <c r="D30" s="2">
        <v>22</v>
      </c>
      <c r="E30" s="2">
        <v>0</v>
      </c>
      <c r="F30" s="2">
        <v>1</v>
      </c>
      <c r="G30" s="2" t="s">
        <v>139</v>
      </c>
      <c r="H30" s="2" t="s">
        <v>394</v>
      </c>
      <c r="I30" s="2"/>
      <c r="J30" s="2" t="s">
        <v>464</v>
      </c>
      <c r="K30" s="2" t="s">
        <v>475</v>
      </c>
      <c r="L30" s="2">
        <f t="shared" si="0"/>
        <v>22</v>
      </c>
    </row>
    <row r="31" spans="1:12" x14ac:dyDescent="0.3">
      <c r="A31" s="2" t="s">
        <v>466</v>
      </c>
      <c r="B31" s="2" t="s">
        <v>188</v>
      </c>
      <c r="C31" s="2" t="s">
        <v>301</v>
      </c>
      <c r="D31" s="2">
        <v>45</v>
      </c>
      <c r="E31" s="2">
        <v>3</v>
      </c>
      <c r="F31" s="2">
        <v>1</v>
      </c>
      <c r="G31" s="2" t="s">
        <v>77</v>
      </c>
      <c r="H31" s="2" t="s">
        <v>394</v>
      </c>
      <c r="I31" s="2"/>
      <c r="J31" s="2"/>
      <c r="K31" s="2" t="s">
        <v>410</v>
      </c>
      <c r="L31" s="2">
        <f t="shared" si="0"/>
        <v>48</v>
      </c>
    </row>
    <row r="32" spans="1:12" x14ac:dyDescent="0.3">
      <c r="A32" s="2" t="s">
        <v>467</v>
      </c>
      <c r="B32" s="2" t="s">
        <v>188</v>
      </c>
      <c r="C32" s="2" t="s">
        <v>301</v>
      </c>
      <c r="D32" s="2">
        <v>47</v>
      </c>
      <c r="E32" s="2">
        <v>0</v>
      </c>
      <c r="F32" s="2">
        <v>2</v>
      </c>
      <c r="G32" s="2" t="s">
        <v>124</v>
      </c>
      <c r="H32" s="2" t="s">
        <v>394</v>
      </c>
      <c r="I32" s="2"/>
      <c r="J32" s="2"/>
      <c r="K32" s="2" t="s">
        <v>410</v>
      </c>
      <c r="L32" s="2">
        <f t="shared" si="0"/>
        <v>47</v>
      </c>
    </row>
    <row r="33" spans="1:12" x14ac:dyDescent="0.3">
      <c r="A33" s="2" t="s">
        <v>468</v>
      </c>
      <c r="B33" s="2" t="s">
        <v>188</v>
      </c>
      <c r="C33" s="2" t="s">
        <v>290</v>
      </c>
      <c r="D33" s="2">
        <v>50</v>
      </c>
      <c r="E33" s="2">
        <v>0</v>
      </c>
      <c r="F33" s="2">
        <v>2</v>
      </c>
      <c r="G33" s="2" t="s">
        <v>136</v>
      </c>
      <c r="H33" s="2" t="s">
        <v>394</v>
      </c>
      <c r="I33" s="2"/>
      <c r="J33" s="2"/>
      <c r="K33" s="2" t="s">
        <v>397</v>
      </c>
      <c r="L33" s="2">
        <f t="shared" si="0"/>
        <v>50</v>
      </c>
    </row>
    <row r="34" spans="1:12" x14ac:dyDescent="0.3">
      <c r="A34" s="2" t="s">
        <v>469</v>
      </c>
      <c r="B34" s="2" t="s">
        <v>188</v>
      </c>
      <c r="C34" s="2" t="s">
        <v>299</v>
      </c>
      <c r="D34" s="2">
        <v>50</v>
      </c>
      <c r="E34" s="2">
        <v>0</v>
      </c>
      <c r="F34" s="2">
        <v>2</v>
      </c>
      <c r="G34" s="2" t="s">
        <v>118</v>
      </c>
      <c r="H34" s="2" t="s">
        <v>394</v>
      </c>
      <c r="I34" s="2"/>
      <c r="J34" s="2" t="s">
        <v>468</v>
      </c>
      <c r="K34" s="2" t="s">
        <v>476</v>
      </c>
      <c r="L34" s="2">
        <f t="shared" si="0"/>
        <v>50</v>
      </c>
    </row>
    <row r="35" spans="1:12" x14ac:dyDescent="0.3">
      <c r="A35" s="2" t="s">
        <v>470</v>
      </c>
      <c r="B35" s="2" t="s">
        <v>188</v>
      </c>
      <c r="C35" s="2" t="s">
        <v>301</v>
      </c>
      <c r="D35" s="2">
        <v>65</v>
      </c>
      <c r="E35" s="2">
        <v>0</v>
      </c>
      <c r="F35" s="2">
        <v>2</v>
      </c>
      <c r="G35" s="2" t="s">
        <v>118</v>
      </c>
      <c r="H35" s="2" t="s">
        <v>394</v>
      </c>
      <c r="I35" s="2"/>
      <c r="J35" s="2"/>
      <c r="K35" s="2" t="s">
        <v>410</v>
      </c>
      <c r="L35" s="2">
        <f t="shared" si="0"/>
        <v>65</v>
      </c>
    </row>
    <row r="36" spans="1:12" x14ac:dyDescent="0.3">
      <c r="A36" s="2" t="s">
        <v>471</v>
      </c>
      <c r="B36" s="2" t="s">
        <v>188</v>
      </c>
      <c r="C36" s="2" t="s">
        <v>290</v>
      </c>
      <c r="D36" s="2">
        <v>79</v>
      </c>
      <c r="E36" s="2">
        <v>0</v>
      </c>
      <c r="F36" s="2">
        <v>2</v>
      </c>
      <c r="G36" s="2" t="s">
        <v>106</v>
      </c>
      <c r="H36" s="2" t="s">
        <v>394</v>
      </c>
      <c r="I36" s="2"/>
      <c r="J36" s="2"/>
      <c r="K36" s="2"/>
      <c r="L36" s="2">
        <f t="shared" si="0"/>
        <v>79</v>
      </c>
    </row>
    <row r="37" spans="1:12" x14ac:dyDescent="0.3">
      <c r="A37" s="2" t="s">
        <v>472</v>
      </c>
      <c r="B37" s="2" t="s">
        <v>188</v>
      </c>
      <c r="C37" s="2" t="s">
        <v>299</v>
      </c>
      <c r="D37" s="2">
        <v>79</v>
      </c>
      <c r="E37" s="2">
        <v>0</v>
      </c>
      <c r="F37" s="2">
        <v>2</v>
      </c>
      <c r="G37" s="2" t="s">
        <v>115</v>
      </c>
      <c r="H37" s="2" t="s">
        <v>394</v>
      </c>
      <c r="I37" s="2"/>
      <c r="J37" s="2" t="s">
        <v>471</v>
      </c>
      <c r="K37" s="2" t="s">
        <v>477</v>
      </c>
      <c r="L37" s="2">
        <f t="shared" si="0"/>
        <v>79</v>
      </c>
    </row>
    <row r="38" spans="1:12" x14ac:dyDescent="0.3">
      <c r="A38" s="2" t="s">
        <v>473</v>
      </c>
      <c r="B38" s="2" t="s">
        <v>188</v>
      </c>
      <c r="C38" s="2" t="s">
        <v>290</v>
      </c>
      <c r="D38" s="2">
        <v>84</v>
      </c>
      <c r="E38" s="2">
        <v>0</v>
      </c>
      <c r="F38" s="2">
        <v>2</v>
      </c>
      <c r="G38" s="2" t="s">
        <v>132</v>
      </c>
      <c r="H38" s="2" t="s">
        <v>394</v>
      </c>
      <c r="I38" s="2"/>
      <c r="J38" s="2"/>
      <c r="K38" s="2" t="s">
        <v>478</v>
      </c>
      <c r="L38" s="2">
        <f t="shared" si="0"/>
        <v>84</v>
      </c>
    </row>
    <row r="39" spans="1:12" x14ac:dyDescent="0.3">
      <c r="A39" s="2" t="s">
        <v>474</v>
      </c>
      <c r="B39" s="2" t="s">
        <v>188</v>
      </c>
      <c r="C39" s="2" t="s">
        <v>299</v>
      </c>
      <c r="D39" s="2">
        <v>84</v>
      </c>
      <c r="E39" s="2">
        <v>0</v>
      </c>
      <c r="F39" s="2">
        <v>2</v>
      </c>
      <c r="G39" s="2" t="s">
        <v>115</v>
      </c>
      <c r="H39" s="2" t="s">
        <v>394</v>
      </c>
      <c r="I39" s="2"/>
      <c r="J39" s="2" t="s">
        <v>473</v>
      </c>
      <c r="K39" s="2" t="s">
        <v>479</v>
      </c>
      <c r="L39" s="2">
        <f t="shared" si="0"/>
        <v>84</v>
      </c>
    </row>
  </sheetData>
  <phoneticPr fontId="6" type="noConversion"/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Leyenda</vt:lpstr>
      <vt:lpstr>Dim_Competiciones</vt:lpstr>
      <vt:lpstr>Dim_Jugadores</vt:lpstr>
      <vt:lpstr>Dim_Partidos</vt:lpstr>
      <vt:lpstr>Dim_TipoEvento</vt:lpstr>
      <vt:lpstr>Hechos_Participaciones</vt:lpstr>
      <vt:lpstr>Hechos_Eventos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miguel rosin</cp:lastModifiedBy>
  <cp:revision>0</cp:revision>
  <dcterms:created xsi:type="dcterms:W3CDTF">2026-09-01T16:23:26Z</dcterms:created>
  <dcterms:modified xsi:type="dcterms:W3CDTF">2026-09-06T17:12:54Z</dcterms:modified>
  <dc:language>en-US</dc:language>
</cp:coreProperties>
</file>